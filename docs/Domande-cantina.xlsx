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truzioni" state="visible" r:id="rId4"/>
    <sheet sheetId="2" name="Domande" state="visible" r:id="rId5"/>
    <sheet sheetId="3" name="Dati per l'onboarding" state="visible" r:id="rId6"/>
    <sheet sheetId="4" name="Soglie da validare" state="visible" r:id="rId7"/>
    <sheet sheetId="5" name="Riepilogo" state="visible" r:id="rId8"/>
    <sheet sheetId="6" name="Decisioni software" state="visible" r:id="rId9"/>
  </sheets>
  <calcPr calcId="171027" fullCalcOnLoad="1"/>
</workbook>
</file>

<file path=xl/sharedStrings.xml><?xml version="1.0" encoding="utf-8"?>
<sst xmlns="http://schemas.openxmlformats.org/spreadsheetml/2006/main" count="1898" uniqueCount="739">
  <si>
    <t>Domande per il gestionale — Cantina Marramiero</t>
  </si>
  <si>
    <t>Versione del 25/09/2026. Raccoglie le informazioni che servono per configurare il gestionale: produzione (vigneto, cantina, imbottigliamento, registro), magazzino, personale e amministrazione.</t>
  </si>
  <si>
    <t>Come si compila</t>
  </si>
  <si>
    <t>1. Nel foglio «Domande» filtra la colonna «Chi risponde» per vedere le domande che ti riguardano.</t>
  </si>
  <si>
    <t>2. Scrivi nella colonna gialla «Risposta». Se la risposta è un file o un documento, scrivi il nome del file o dove trovarlo.</t>
  </si>
  <si>
    <t>3. Compila «Risposto da» e «Data».</t>
  </si>
  <si>
    <t>4. Cambia lo «Stato» dal menu a tendina: «Risposta data» quando hai risposto, «Da chiarire» se hai un dubbio (scrivilo nelle «Note»). La riga si colora da sola.</t>
  </si>
  <si>
    <t>5. Non cambiare la colonna «ID»: serve per caricare le risposte nel gestionale.</t>
  </si>
  <si>
    <t>6. Se non sai rispondere, lascia vuoto e scrivi nelle «Note» chi potrebbe saperlo.</t>
  </si>
  <si>
    <t>Priorità</t>
  </si>
  <si>
    <t>Alta: serve nelle prossime settimane (anagrafiche di vigneto e cantina, registro dei trattamenti). Media: serve nei prossimi mesi. Bassa: quando c'è tempo.</t>
  </si>
  <si>
    <t>Gli altri fogli</t>
  </si>
  <si>
    <t>«Dati per l'onboarding»: anteprima dei dati che serviranno (parcelle, vasi, barrique, vini in cantina, materiali…). I modelli Excel da compilare arriveranno con la procedura di onboarding: per ora non serve preparare niente. Le domande con stato «Nell'onboarding» si risolvono lì.</t>
  </si>
  <si>
    <t>«Soglie da validare»: valori di partenza dei controlli (fermentazioni, SO2, tempi sui lieviti…). Li rivedono l'enologo, l'agronomo, l'RSPP e il consulente: scrivete il valore giusto in «Valore confermato».</t>
  </si>
  <si>
    <t>«Riepilogo»: a che punto siamo, per area e per persona. Si aggiorna da solo.</t>
  </si>
  <si>
    <t>«Decisioni software»: riservato a Dante, non serve compilarlo in cantina.</t>
  </si>
  <si>
    <t>Quando avete finito</t>
  </si>
  <si>
    <t>Rimandate il file a Dante. Anche un file compilato a metà va bene: le risposte si caricano un po' alla volta.</t>
  </si>
  <si>
    <t>ID</t>
  </si>
  <si>
    <t>Area</t>
  </si>
  <si>
    <t>Domanda</t>
  </si>
  <si>
    <t>Perché serve</t>
  </si>
  <si>
    <t>Esempio / possibili risposte</t>
  </si>
  <si>
    <t>Chi risponde</t>
  </si>
  <si>
    <t>Serve per</t>
  </si>
  <si>
    <t>Risposta</t>
  </si>
  <si>
    <t>Risposto da</t>
  </si>
  <si>
    <t>Data</t>
  </si>
  <si>
    <t>Stato</t>
  </si>
  <si>
    <t>Note</t>
  </si>
  <si>
    <t>AZ-01</t>
  </si>
  <si>
    <t>Azienda</t>
  </si>
  <si>
    <t>Chi sono i referenti di ogni area (enologo, agronomo, responsabile qualità, capo cantina, magazzino, amministrazione)? Nome ed email.</t>
  </si>
  <si>
    <t>Il software manda a loro approvazioni, avvisi e scadenze.</t>
  </si>
  <si>
    <t>Enologo: Mario Rossi, m.rossi@…</t>
  </si>
  <si>
    <t>Direzione</t>
  </si>
  <si>
    <t>Alta</t>
  </si>
  <si>
    <t>Portale</t>
  </si>
  <si>
    <t/>
  </si>
  <si>
    <t>Da chiedere</t>
  </si>
  <si>
    <t>AZ-02</t>
  </si>
  <si>
    <t>L'enologo è interno o un consulente esterno? Deve poter entrare nel portale?</t>
  </si>
  <si>
    <t>Assemblaggi, aggiunte e sblocchi dei lotti li approva l'enologo.</t>
  </si>
  <si>
    <t>Interno / esterno con accesso / esterno senza accesso</t>
  </si>
  <si>
    <t>Produzione – anagrafiche</t>
  </si>
  <si>
    <t>Enologo interno; ci sono anche consulenti esterni.</t>
  </si>
  <si>
    <t>Dante Marramiero</t>
  </si>
  <si>
    <t>25/09/2026</t>
  </si>
  <si>
    <t>Da chiarire</t>
  </si>
  <si>
    <t>I consulenti esterni devono entrare nel portale? Per quali aree?</t>
  </si>
  <si>
    <t>AZ-03</t>
  </si>
  <si>
    <t>Che dispositivi userete in cantina e in vigneto?</t>
  </si>
  <si>
    <t>Decide come costruire le schermate e cosa deve funzionare senza rete.</t>
  </si>
  <si>
    <t>iPad, tablet Android, smartphone aziendali, smartphone personali</t>
  </si>
  <si>
    <t>Un po' di tutto: iPad, tablet Android, smartphone aziendali e personali.</t>
  </si>
  <si>
    <t>Risposta data</t>
  </si>
  <si>
    <t>AZ-04</t>
  </si>
  <si>
    <t>C'è copertura internet (Wi-Fi o 4G) in cantina, in bottaia e nei vigneti? Dove manca?</t>
  </si>
  <si>
    <t>Dove manca il segnale le registrazioni si salvano come bozza sul dispositivo e partono dopo.</t>
  </si>
  <si>
    <t>Cantina sì, bottaia no, vigneto X debole</t>
  </si>
  <si>
    <t>Cantiniere</t>
  </si>
  <si>
    <t>Media</t>
  </si>
  <si>
    <t>Produzione – vigneto</t>
  </si>
  <si>
    <t>AZ-05</t>
  </si>
  <si>
    <t>Come preferite vedere le quantità a schermo: litri o ettolitri? chili o quintali? °Babo o °Brix?</t>
  </si>
  <si>
    <t>I dati si salvano sempre precisi; cambia solo come si vedono.</t>
  </si>
  <si>
    <t>hl, kg, °Babo</t>
  </si>
  <si>
    <t>Enologo</t>
  </si>
  <si>
    <t>Le unità si scelgono in Impostazioni. Valori di partenza: ettolitri e quintali.</t>
  </si>
  <si>
    <t>Manca la scala degli zuccheri: °Babo o °Brix? (da chiedere all'enologo)</t>
  </si>
  <si>
    <t>AZ-06</t>
  </si>
  <si>
    <t>Qualcuno userà il software in inglese?</t>
  </si>
  <si>
    <t>Testi da preparare anche in inglese.</t>
  </si>
  <si>
    <t>No / Sì, l'enologo consulente</t>
  </si>
  <si>
    <t>Bassa</t>
  </si>
  <si>
    <t>SIA-01</t>
  </si>
  <si>
    <t>Registro SIAN</t>
  </si>
  <si>
    <t>Chi tiene oggi il registro telematico SIAN: voi, un CAA, un consulente o un altro software?</t>
  </si>
  <si>
    <t>Il software non deve mai trasmettere al SIAN in parallelo a chi lo fa già.</t>
  </si>
  <si>
    <t>Consulente Studio X / CAA / software Y / noi dal portale SIAN</t>
  </si>
  <si>
    <t>Amministrazione</t>
  </si>
  <si>
    <t>Produzione – registro SIAN</t>
  </si>
  <si>
    <t>25/09/2026: Dante non lo sa, da chiedere in amministrazione.</t>
  </si>
  <si>
    <t>SIA-02</t>
  </si>
  <si>
    <t>Se un software o un servizio trasmette già al SIAN: quale? Deve continuare a farlo lui?</t>
  </si>
  <si>
    <t>Stabilisce se il nostro software prepara solo i dati da passare o, più avanti, trasmette.</t>
  </si>
  <si>
    <t>Nome del software o del servizio</t>
  </si>
  <si>
    <t>SIA-03</t>
  </si>
  <si>
    <t>Quanti stabilimenti avete con codice ICQRF? Quali sono i codici?</t>
  </si>
  <si>
    <t>C'è un registro per stabilimento: vasi e operazioni si collegano al loro stabilimento.</t>
  </si>
  <si>
    <t>1 stabilimento, codice …</t>
  </si>
  <si>
    <t>SIA-04</t>
  </si>
  <si>
    <t>Siete in regime ordinario o in deroga (sotto i 1000 hl l'anno, da uve prevalentemente proprie)?</t>
  </si>
  <si>
    <t>Cambiano le scadenze: entro il giorno lavorativo dopo / il terzo, oppure 30 giorni.</t>
  </si>
  <si>
    <t>Ordinario / Deroga 30 giorni</t>
  </si>
  <si>
    <t>Consulente SIAN/CAA</t>
  </si>
  <si>
    <t>25/09/2026: Dante non lo sa, da chiedere al consulente.</t>
  </si>
  <si>
    <t>SIA-05</t>
  </si>
  <si>
    <t>Siete deposito fiscale (accise)?</t>
  </si>
  <si>
    <t>Cambiano obblighi e documenti.</t>
  </si>
  <si>
    <t>Sì / No</t>
  </si>
  <si>
    <t>SIA-06</t>
  </si>
  <si>
    <t>Quanti ettolitri e quante bottiglie producete in un anno, circa?</t>
  </si>
  <si>
    <t>Conferma il regime e dimensiona il registro.</t>
  </si>
  <si>
    <t>1.200 hl, 150.000 bottiglie</t>
  </si>
  <si>
    <t>SIA-07</t>
  </si>
  <si>
    <t>Chi prepara la dichiarazione di vendemmia e produzione (30/11) e quella di giacenza (31/7)? Con quali dati?</t>
  </si>
  <si>
    <t>Il software può preparare i prospetti già compilati.</t>
  </si>
  <si>
    <t>Il consulente, dai nostri Excel</t>
  </si>
  <si>
    <t>SIA-08</t>
  </si>
  <si>
    <t>Potete farvi dare dal consulente l'elenco dei codici operazione SIAN che usate più spesso?</t>
  </si>
  <si>
    <t>Ogni operazione di cantina va abbinata al suo codice SIAN: non va inventato.</t>
  </si>
  <si>
    <t>Elenco o file del consulente</t>
  </si>
  <si>
    <t>SIA-09</t>
  </si>
  <si>
    <t>Vendete o comprate vino sfuso?</t>
  </si>
  <si>
    <t>Lo sfuso viaggia con documenti MVV: il software fornisce i dati del lotto.</t>
  </si>
  <si>
    <t>No / Sì, a …</t>
  </si>
  <si>
    <t>SIA-10</t>
  </si>
  <si>
    <t>Come numerate i documenti giustificativi citati nel registro (DDT, fatture, documenti interni)?</t>
  </si>
  <si>
    <t>Ogni riga del registro indica il suo documento.</t>
  </si>
  <si>
    <t>DDT n. 123/2026</t>
  </si>
  <si>
    <t>DEN-01</t>
  </si>
  <si>
    <t>Denominazioni e prodotti</t>
  </si>
  <si>
    <t>Quali denominazioni producete (DOCG, DOC, IGT, varietali, generici) e con quali vini?</t>
  </si>
  <si>
    <t>Designazione dei lotti, rese massime e regole del disciplinare.</t>
  </si>
  <si>
    <t>Montepulciano d'Abruzzo DOC: Inferi; Trebbiano d'Abruzzo DOC: Altare</t>
  </si>
  <si>
    <t>Montepulciano d'Abruzzo DOC, Trebbiano d'Abruzzo DOC, Cerasuolo d'Abruzzo DOC, Abruzzo DOC / IGT e altre.</t>
  </si>
  <si>
    <t>Nell'onboarding</t>
  </si>
  <si>
    <t>L'elenco completo, con i vini, si raccoglie nell'onboarding.</t>
  </si>
  <si>
    <t>DEN-02</t>
  </si>
  <si>
    <t>Quali denominazioni richiedono i contrassegni di Stato (fascette)? Chi ve li fornisce? Come registrate serie usate e distrutte?</t>
  </si>
  <si>
    <t>Etichettatura e quadratura delle fascette.</t>
  </si>
  <si>
    <t>Nessuna / DOCG X: fascette dal Consorzio</t>
  </si>
  <si>
    <t>Produzione – imbottigliamento</t>
  </si>
  <si>
    <t>Sì.</t>
  </si>
  <si>
    <t>Indicare quali denominazioni, chi fornisce le fascette e come si registrano le serie usate e distrutte.</t>
  </si>
  <si>
    <t>DEN-03</t>
  </si>
  <si>
    <t>Quali menzioni usate (Riserva, Superiore, Vigna…) e su quali vini?</t>
  </si>
  <si>
    <t>Il software controlla i tempi minimi in legno e di affinamento.</t>
  </si>
  <si>
    <t>Inferi: Riserva</t>
  </si>
  <si>
    <t>Produzione – affinamento</t>
  </si>
  <si>
    <t>DEN-04</t>
  </si>
  <si>
    <t>Avete i disciplinari aggiornati delle vostre denominazioni? Potete mandarli?</t>
  </si>
  <si>
    <t>Rese, vitigni e tempi minimi diventano regole del software.</t>
  </si>
  <si>
    <t>PDF dei disciplinari</t>
  </si>
  <si>
    <t>DEN-05</t>
  </si>
  <si>
    <t>Elenco completo delle etichette: vino, annata, formato, codice interno (SKU), codice EAN.</t>
  </si>
  <si>
    <t>Oggi i prodotti nel software non hanno codice né formato.</t>
  </si>
  <si>
    <t>Inferi 2019, 0,75 L, SKU INF19-075, EAN …</t>
  </si>
  <si>
    <t>Commerciale</t>
  </si>
  <si>
    <t>Magazzino</t>
  </si>
  <si>
    <t>Elenco delle etichette con il modello dell'onboarding.</t>
  </si>
  <si>
    <t>DEN-06</t>
  </si>
  <si>
    <t>Chi assegna i codici prodotto (SKU)? Con che regola?</t>
  </si>
  <si>
    <t>I codici collegano imbottigliamento, magazzino e vendite.</t>
  </si>
  <si>
    <t>Sigla vino + annata + formato</t>
  </si>
  <si>
    <t>DEN-07</t>
  </si>
  <si>
    <t>Quali formati usate (0,375 / 0,75 / 1,5 / 3 L / altri)?</t>
  </si>
  <si>
    <t>Imbottigliamenti e materiali per formato.</t>
  </si>
  <si>
    <t>0,75 e 1,5</t>
  </si>
  <si>
    <t>DEN-08</t>
  </si>
  <si>
    <t>Avete varianti di etichetta per paese, lingua o importatore (retroetichette)? Quali?</t>
  </si>
  <si>
    <t>L'ordine indica la variante; l'etichettatura scarica i materiali giusti.</t>
  </si>
  <si>
    <t>Retro USA, retro Giappone per l'importatore X</t>
  </si>
  <si>
    <t>DEN-09</t>
  </si>
  <si>
    <t>Quando indicate annata o vitigno in etichetta applicate la regola dell'85%? Ci sono eccezioni?</t>
  </si>
  <si>
    <t>Il software avvisa quando un assemblaggio fa perdere il diritto a indicarli.</t>
  </si>
  <si>
    <t>Sì, 85%</t>
  </si>
  <si>
    <t>Produzione – cantina</t>
  </si>
  <si>
    <t>VIG-01</t>
  </si>
  <si>
    <t>Vigneto</t>
  </si>
  <si>
    <t>Quanti vigneti e quante parcelle gestite? Come le chiamate oggi (nomi o codici)?</t>
  </si>
  <si>
    <t>È la base: ogni intervento e ogni conferimento parte da una parcella.</t>
  </si>
  <si>
    <t>3 vigneti, 25 parcelle, codici V1-P01…</t>
  </si>
  <si>
    <t>Agronomo</t>
  </si>
  <si>
    <t>Elenco di vigneti e parcelle con il modello dell'onboarding.</t>
  </si>
  <si>
    <t>VIG-02</t>
  </si>
  <si>
    <t>Avete lo schedario viticolo aggiornato e i dati catastali (comune, foglio, particella, subalterno, superficie)?</t>
  </si>
  <si>
    <t>Superfici vitate, rese per ettaro, dichiarazione di vendemmia.</t>
  </si>
  <si>
    <t>Sì, dal fascicolo aziendale / dal CAA</t>
  </si>
  <si>
    <t>VIG-03</t>
  </si>
  <si>
    <t>Una parcella può stare su più particelle catastali? E una particella può contenere più parcelle?</t>
  </si>
  <si>
    <t>Decide come collegare parcelle e catasto.</t>
  </si>
  <si>
    <t>Sì, la parcella X è su 2 particelle</t>
  </si>
  <si>
    <t>VIG-04</t>
  </si>
  <si>
    <t>Siete biologici certificati o in conversione, anche solo su una parte dei vigneti? Con quale ente?</t>
  </si>
  <si>
    <t>Il software blocca i prodotti non ammessi in biologico su quelle parcelle.</t>
  </si>
  <si>
    <t>Certificati su tutto (ente …) / in conversione sul vigneto X / no</t>
  </si>
  <si>
    <t>In parte: alcuni vigneti sono biologici (certificati o in conversione).</t>
  </si>
  <si>
    <t>Indicare quali vigneti, se certificati o in conversione, e l'ente certificatore.</t>
  </si>
  <si>
    <t>VIG-05</t>
  </si>
  <si>
    <t>Avete altre certificazioni (SQNPI, Equalitas, VIVA…)?</t>
  </si>
  <si>
    <t>Possono chiedere registrazioni in più.</t>
  </si>
  <si>
    <t>No / Equalitas</t>
  </si>
  <si>
    <t>VIG-06</t>
  </si>
  <si>
    <t>Come registrate oggi i trattamenti (quaderno di carta, Excel, software, CAA)? Chi li scrive?</t>
  </si>
  <si>
    <t>Dal 1/1/2027 il registro dei trattamenti sarà solo elettronico; quelli del 2026 vanno convertiti entro il 31/12/2026.</t>
  </si>
  <si>
    <t>Quaderno di carta compilato dal trattorista</t>
  </si>
  <si>
    <t>VIG-07</t>
  </si>
  <si>
    <t>Chi esegue i trattamenti? Hanno il patentino fitosanitario valido? Fino a quando?</t>
  </si>
  <si>
    <t>Il software accetta come esecutore solo chi ha il patentino valido alla data.</t>
  </si>
  <si>
    <t>2 trattoristi, patentino fino al 2028</t>
  </si>
  <si>
    <t>VIG-08</t>
  </si>
  <si>
    <t>Elenco delle irroratrici e delle attrezzature, con la data dell'ultimo controllo funzionale.</t>
  </si>
  <si>
    <t>Un trattamento con un'attrezzatura non controllata viene segnalato.</t>
  </si>
  <si>
    <t>Atomizzatore X, controllo marzo 2025</t>
  </si>
  <si>
    <t>Elenco delle attrezzature con il modello dell'onboarding.</t>
  </si>
  <si>
    <t>VIG-09</t>
  </si>
  <si>
    <t>Quali fitofarmaci usate? (nome, n. di registrazione, dose massima, carenza, rientro, n. massimo di applicazioni, ammesso in bio)</t>
  </si>
  <si>
    <t>Controlli su dosi, giorni di carenza e tempi di rientro.</t>
  </si>
  <si>
    <t>Modello «Fitofarmaci» dell’onboarding</t>
  </si>
  <si>
    <t>Elenco dei fitofarmaci con il modello dell'onboarding.</t>
  </si>
  <si>
    <t>VIG-10</t>
  </si>
  <si>
    <t>I fitofarmaci li gestite a magazzino (carichi e scarichi)?</t>
  </si>
  <si>
    <t>Se sì, ogni trattamento scarica il prodotto dal magazzino.</t>
  </si>
  <si>
    <t>VIG-11</t>
  </si>
  <si>
    <t>Il numero massimo di applicazioni di un prodotto lo contate per anno solare?</t>
  </si>
  <si>
    <t>La campagna (1/8–31/7) spezza in due la stagione dei trattamenti: proponiamo di contare per anno solare.</t>
  </si>
  <si>
    <t>Sì, per anno solare</t>
  </si>
  <si>
    <t>Chiesta</t>
  </si>
  <si>
    <t>25/09/2026: Dante lo chiede all'agronomo (è la decisione DP13).</t>
  </si>
  <si>
    <t>VIG-12</t>
  </si>
  <si>
    <t>Quali analisi di maturazione fate (zuccheri, acidità, pH, malico, peso acini, APA, maturità fenolica, sanità)? Ogni quanto e chi le fa?</t>
  </si>
  <si>
    <t>Curve di maturazione per parcella e previsione della vendemmia.</t>
  </si>
  <si>
    <t>°Babo, acidità e pH ogni 5 giorni da fine agosto</t>
  </si>
  <si>
    <t>VIG-13</t>
  </si>
  <si>
    <t>Quali valori obiettivo usate per decidere quando vendemmiare (base spumante, bianco, rosso)?</t>
  </si>
  <si>
    <t>Previsione della data di vendemmia.</t>
  </si>
  <si>
    <t>Base spumante: 17-18 °Brix, acidità &gt; 8 g/l</t>
  </si>
  <si>
    <t>VIG-14</t>
  </si>
  <si>
    <t>Oltre ai trattamenti, quali interventi volete registrare (potature, lavorazioni, concimazioni, irrigazioni, sfalci, diradamenti…)?</t>
  </si>
  <si>
    <t>Storico per parcella e costi di vigneto.</t>
  </si>
  <si>
    <t>Tutti / solo concimazioni e potature</t>
  </si>
  <si>
    <t>VIG-15</t>
  </si>
  <si>
    <t>Quali concimi usate (prodotto, titolo NPK, dosi)?</t>
  </si>
  <si>
    <t>Registro delle concimazioni.</t>
  </si>
  <si>
    <t>…</t>
  </si>
  <si>
    <t>Elenco dei concimi con il modello dell'onboarding.</t>
  </si>
  <si>
    <t>VIG-16</t>
  </si>
  <si>
    <t>Fate irrigazione di soccorso? Su quali parcelle?</t>
  </si>
  <si>
    <t>Registro degli interventi.</t>
  </si>
  <si>
    <t>No</t>
  </si>
  <si>
    <t>VEN-01</t>
  </si>
  <si>
    <t>Vendemmia</t>
  </si>
  <si>
    <t>La vendemmia 2026 è finita, in corso o appena iniziata?</t>
  </si>
  <si>
    <t>Decide se registrarla da zero o partire dai vini già in cantina.</t>
  </si>
  <si>
    <t>In corso, finisce a metà ottobre</t>
  </si>
  <si>
    <t>Produzione – vendemmia e lotti</t>
  </si>
  <si>
    <t>In corso (al 25/09/2026).</t>
  </si>
  <si>
    <t>VEN-02</t>
  </si>
  <si>
    <t>Vendemmia manuale o meccanica? Con che cassette (capacità) e quante squadre?</t>
  </si>
  <si>
    <t>Conferimenti e ore delle squadre.</t>
  </si>
  <si>
    <t>Manuale, cassette da 18 kg, 2 squadre</t>
  </si>
  <si>
    <t>VEN-03</t>
  </si>
  <si>
    <t>Avete una pesa? Rilascia uno scontrino numerato?</t>
  </si>
  <si>
    <t>Il conferimento registra lordo, tara, netto e il numero dello scontrino.</t>
  </si>
  <si>
    <t>Pesa a ponte con scontrino numerato</t>
  </si>
  <si>
    <t>VEN-04</t>
  </si>
  <si>
    <t>Cosa annotate oggi a ogni conferimento (parcella, peso, zuccheri, stato sanitario, destinazione)?</t>
  </si>
  <si>
    <t>Campi della schermata di conferimento.</t>
  </si>
  <si>
    <t>Parcella, peso, °Babo</t>
  </si>
  <si>
    <t>VEN-05</t>
  </si>
  <si>
    <t>Tenete separate le frazioni di pressatura (fiore, seconda, torchiato)?</t>
  </si>
  <si>
    <t>Ogni frazione diventa un lotto a sé.</t>
  </si>
  <si>
    <t>Sì, fiore e torchiato</t>
  </si>
  <si>
    <t>VEN-06</t>
  </si>
  <si>
    <t>Sottoprodotti (vinacce, raspi, fecce): a chi vanno e con quale documento?</t>
  </si>
  <si>
    <t>Registro e sostenibilità.</t>
  </si>
  <si>
    <t>Vinacce alla distilleria X con DDT</t>
  </si>
  <si>
    <t>CAN-01</t>
  </si>
  <si>
    <t>Cantina</t>
  </si>
  <si>
    <t>Come sono divisi gli spazi della cantina (tinaia, bottaia, cantina spumanti, magazzino)?</t>
  </si>
  <si>
    <t>Mappa della cantina.</t>
  </si>
  <si>
    <t>Tinaia, bottaia interrata, magazzino</t>
  </si>
  <si>
    <t>CAN-02</t>
  </si>
  <si>
    <t>Elenco dei vasi: codice, tipo, materiale, capacità, termocondizionamento, posizione.</t>
  </si>
  <si>
    <t>Anagrafica dei vasi e codici QR da attaccare.</t>
  </si>
  <si>
    <t>Modello «Vasi» dell’onboarding</t>
  </si>
  <si>
    <t>Elenco dei vasi con il modello dell'onboarding.</t>
  </si>
  <si>
    <t>CAN-03</t>
  </si>
  <si>
    <t>Elenco delle barrique e dei legni: tonnelleria, rovere, tostatura, capacità, anno e costo di acquisto, passaggi già fatti.</t>
  </si>
  <si>
    <t>Storia di ogni legno e ammortamento per passaggio.</t>
  </si>
  <si>
    <t>Modello «Barrique» dell’onboarding</t>
  </si>
  <si>
    <t>Elenco di barrique e legni con il modello dell'onboarding.</t>
  </si>
  <si>
    <t>CAN-04</t>
  </si>
  <si>
    <t>Come numerate oggi i lotti di vino?</t>
  </si>
  <si>
    <t>Il codice del lotto nel software segue la vostra numerazione.</t>
  </si>
  <si>
    <t>24MON01</t>
  </si>
  <si>
    <t>CAN-05</t>
  </si>
  <si>
    <t>Vini in cantina oggi: per ogni vaso, vino, annata, volume, vitigni con percentuale, denominazione.</t>
  </si>
  <si>
    <t>Punto di partenza della cantina nel software.</t>
  </si>
  <si>
    <t>Modello «Vini in cantina» dell’onboarding</t>
  </si>
  <si>
    <t>Vini in cantina con il modello dell'onboarding (decisione DP16 rimandata all'onboarding).</t>
  </si>
  <si>
    <t>CAN-06</t>
  </si>
  <si>
    <t>Quali passi seguite di solito per bianco, rosso, rosato e base spumante (protocolli)?</t>
  </si>
  <si>
    <t>Protocolli modificabili: il software suggerisce il passo successivo.</t>
  </si>
  <si>
    <t>Bianco: pressatura soffice, decantazione a freddo, …</t>
  </si>
  <si>
    <t>CAN-07</t>
  </si>
  <si>
    <t>Durante la fermentazione cosa misurate (densità, temperatura), ogni quanto e chi?</t>
  </si>
  <si>
    <t>Curve di fermentazione e allarmi di arresto.</t>
  </si>
  <si>
    <t>2 volte al giorno, il cantiniere</t>
  </si>
  <si>
    <t>CAN-08</t>
  </si>
  <si>
    <t>Prodotti enologici usati (lieviti, batteri, enzimi, solfiti, bentonite, chiarificanti…): elenco e fornitori. Ne tracciate lotto e scadenza?</t>
  </si>
  <si>
    <t>Ogni aggiunta scarica il magazzino; lotto e scadenza servono alla tracciabilità.</t>
  </si>
  <si>
    <t>Modello «Prodotti enologici» dell’onboarding</t>
  </si>
  <si>
    <t>CAN-09</t>
  </si>
  <si>
    <t>Laboratorio analisi: interno, esterno o entrambi? Quale? In che formato arrivano i referti (PDF, CSV)?</t>
  </si>
  <si>
    <t>Caricare le analisi senza ricopiarle a mano.</t>
  </si>
  <si>
    <t>Esterno, laboratorio X, PDF</t>
  </si>
  <si>
    <t>Entrambi: laboratorio interno ed esterno.</t>
  </si>
  <si>
    <t>Indicare il laboratorio esterno e il formato dei referti (PDF, CSV).</t>
  </si>
  <si>
    <t>CAN-10</t>
  </si>
  <si>
    <t>Quali analisi servono prima dell'imbottigliamento, e quanti giorni prima al massimo?</t>
  </si>
  <si>
    <t>Il software blocca l'imbottigliamento senza analisi recenti.</t>
  </si>
  <si>
    <t>Alcol, SO2, acidità volatile, stabilità; entro 30 giorni</t>
  </si>
  <si>
    <t>CAN-11</t>
  </si>
  <si>
    <t>Pulizia dei vasi: cosa registrate (lavaggio, sanificazione, solforazione) e con quali prodotti?</t>
  </si>
  <si>
    <t>Un vaso vuoto non si riempie senza la pulizia registrata.</t>
  </si>
  <si>
    <t>Lavaggio e sanificazione con …</t>
  </si>
  <si>
    <t>CAN-12</t>
  </si>
  <si>
    <t>Quali vasi richiedono che una persona entri dentro (spazi confinati)? Qual è la vostra procedura (quante persone)?</t>
  </si>
  <si>
    <t>Solo personale abilitato e nel numero minimo previsto.</t>
  </si>
  <si>
    <t>Vasche inox oltre 50 hl: 2 persone</t>
  </si>
  <si>
    <t>Responsabile qualità</t>
  </si>
  <si>
    <t>CAN-13</t>
  </si>
  <si>
    <t>Ogni quanto misurate fisicamente i volumi nei vasi (inventario di cantina)?</t>
  </si>
  <si>
    <t>Differenze registrate come rettifiche con la causale.</t>
  </si>
  <si>
    <t>A fine campagna</t>
  </si>
  <si>
    <t>CAN-14</t>
  </si>
  <si>
    <t>Chi approva assemblaggi, aggiunte e cambi di denominazione? Serve una seconda firma?</t>
  </si>
  <si>
    <t>Permessi nel software.</t>
  </si>
  <si>
    <t>L'enologo, nessuna seconda firma</t>
  </si>
  <si>
    <t>CAN-15</t>
  </si>
  <si>
    <t>Ogni quanto colmate le barrique?</t>
  </si>
  <si>
    <t>Elenco delle colmature in ritardo.</t>
  </si>
  <si>
    <t>Ogni 15 giorni</t>
  </si>
  <si>
    <t>SPU-01</t>
  </si>
  <si>
    <t>Metodo classico</t>
  </si>
  <si>
    <t>Producete metodo classico? Quanti tiraggi all'anno e quante bottiglie?</t>
  </si>
  <si>
    <t>Cataste, remuage e sboccature.</t>
  </si>
  <si>
    <t>Sì, 1 tiraggio, 10.000 bottiglie / No</t>
  </si>
  <si>
    <t>Indicare quanti tiraggi all'anno e quante bottiglie.</t>
  </si>
  <si>
    <t>SPU-02</t>
  </si>
  <si>
    <t>Remuage e sboccatura: interni o conto terzi? Pupitre o giropallet? À la glace o à la volée?</t>
  </si>
  <si>
    <t>Operazioni da registrare e costi dei terzisti.</t>
  </si>
  <si>
    <t>Giropallet interno, sboccatura conto terzi</t>
  </si>
  <si>
    <t>SPU-03</t>
  </si>
  <si>
    <t>Tempo minimo sui lieviti per ciascuno spumante (e menzione).</t>
  </si>
  <si>
    <t>Il software rifiuta una sboccatura fatta troppo presto.</t>
  </si>
  <si>
    <t>24 mesi per il millesimato</t>
  </si>
  <si>
    <t>SPU-04</t>
  </si>
  <si>
    <t>Come preparate la liqueur d'expédition e quali dosaggi usate (pas dosé, extra brut, brut…)?</t>
  </si>
  <si>
    <t>Calcolo dello zucchero residuo e della categoria di dosaggio.</t>
  </si>
  <si>
    <t>Brut, 8 g/l</t>
  </si>
  <si>
    <t>SPU-05</t>
  </si>
  <si>
    <t>Scrivete la data di sboccatura in etichetta?</t>
  </si>
  <si>
    <t>Resta collegata al lotto d'imbottigliamento.</t>
  </si>
  <si>
    <t>SPU-06</t>
  </si>
  <si>
    <t>Come identificate le cataste di bottiglie sui lieviti e dove sono?</t>
  </si>
  <si>
    <t>Codici QR e posizioni delle cataste.</t>
  </si>
  <si>
    <t>Per data di tiraggio, gabbie numerate</t>
  </si>
  <si>
    <t>IMB-01</t>
  </si>
  <si>
    <t>Imbottigliamento</t>
  </si>
  <si>
    <t>Imbottigliatrice vostra o imbottigliatore mobile/terzista? Quale?</t>
  </si>
  <si>
    <t>Se è un terzista, l'imbottigliamento riceve il costo della sua fattura.</t>
  </si>
  <si>
    <t>Mobile, ditta X</t>
  </si>
  <si>
    <t>Linea di imbottigliamento nostra.</t>
  </si>
  <si>
    <t>IMB-02</t>
  </si>
  <si>
    <t>Come numerate oggi i lotti d'imbottigliamento (il codice stampato in bottiglia)?</t>
  </si>
  <si>
    <t>Il lotto è obbligatorio per legge ed è il collegamento verso i clienti.</t>
  </si>
  <si>
    <t>L2426801</t>
  </si>
  <si>
    <t>IMB-03</t>
  </si>
  <si>
    <t>Materiali per ogni vino e formato: bottiglia, tappo, capsula, gabbietta, etichetta, retroetichetta, cartone.</t>
  </si>
  <si>
    <t>Consumo dei materiali e fabbisogni degli imbottigliamenti pianificati.</t>
  </si>
  <si>
    <t>Modello «Distinte materiali» dell’onboarding</t>
  </si>
  <si>
    <t>Distinte dei materiali con il modello dell'onboarding.</t>
  </si>
  <si>
    <t>IMB-04</t>
  </si>
  <si>
    <t>Bottiglie nude (non etichettate): quante, per quanto tempo e dove le tenete?</t>
  </si>
  <si>
    <t>Giacenza dei semilavorati.</t>
  </si>
  <si>
    <t>Inferi resta nudo 12 mesi in bottaia</t>
  </si>
  <si>
    <t>IMB-05</t>
  </si>
  <si>
    <t>Etichettatura differita: chi la fa, quando, e come la registrate oggi?</t>
  </si>
  <si>
    <t>Per legge l'etichettatura differita si registra ogni volta.</t>
  </si>
  <si>
    <t>All'arrivo dell'ordine, il magazziniere</t>
  </si>
  <si>
    <t>IMB-06</t>
  </si>
  <si>
    <t>Registrate il lotto del fornitore dei tappi?</t>
  </si>
  <si>
    <t>Serve per le indagini in caso di sentore di tappo.</t>
  </si>
  <si>
    <t>IMB-07</t>
  </si>
  <si>
    <t>Cartoni, casse e confezioni regalo: chi decide l'imballo di un ordine, e quando?</t>
  </si>
  <si>
    <t>Gli imballi si scaricano per ordine, alla spedizione.</t>
  </si>
  <si>
    <t>Il magazziniere alla spedizione</t>
  </si>
  <si>
    <t>IMB-08</t>
  </si>
  <si>
    <t>Usate già l'etichetta elettronica (ingredienti via QR)? Con quale servizio?</t>
  </si>
  <si>
    <t>Bozza degli ingredienti dalle aggiunte registrate.</t>
  </si>
  <si>
    <t>No / Sì, servizio X</t>
  </si>
  <si>
    <t>MAG-01</t>
  </si>
  <si>
    <t>Elenco materie prime (materiali secchi e prodotti enologici): codice, nome, unità, fornitore, scorta minima.</t>
  </si>
  <si>
    <t>Oggi il magazzino materie prime nel software è vuoto.</t>
  </si>
  <si>
    <t>Modello «Materiali» dell’onboarding</t>
  </si>
  <si>
    <t>Elenco delle materie prime con il modello dell'onboarding.</t>
  </si>
  <si>
    <t>MAG-02</t>
  </si>
  <si>
    <t>In che unità contate i materiali (pezzi, grammi, millilitri, chili)?</t>
  </si>
  <si>
    <t>Il registro conta in unità intere: si usano grammi e millilitri invece di chili e litri.</t>
  </si>
  <si>
    <t>Tappi a pezzi, bentonite in grammi</t>
  </si>
  <si>
    <t>MAG-03</t>
  </si>
  <si>
    <t>Giacenza di bottiglie oggi, per vino, annata e formato.</t>
  </si>
  <si>
    <t>Punto di partenza del magazzino nel software.</t>
  </si>
  <si>
    <t>Modello «Giacenze bottiglie» dell’onboarding</t>
  </si>
  <si>
    <t>Giacenze di bottiglie con il modello dell'onboarding.</t>
  </si>
  <si>
    <t>MAG-04</t>
  </si>
  <si>
    <t>Costo per bottiglia di ogni vino e annata, e delle materie prime.</t>
  </si>
  <si>
    <t>Valore del magazzino e margini. Si compila nel foglio dei costi scaricato dal software.</t>
  </si>
  <si>
    <t>Inferi 2019: 6,40 €</t>
  </si>
  <si>
    <t>MAG-05</t>
  </si>
  <si>
    <t>Chi deve ricevere gli avvisi di scorta bassa?</t>
  </si>
  <si>
    <t>Notifiche nel portale ed email.</t>
  </si>
  <si>
    <t>Magazziniere per le materie prime, commerciale per le bottiglie</t>
  </si>
  <si>
    <t>MAG-06</t>
  </si>
  <si>
    <t>Fate inventari fisici del magazzino? Ogni quanto?</t>
  </si>
  <si>
    <t>Inventari con rettifiche.</t>
  </si>
  <si>
    <t>Una volta l'anno, a luglio</t>
  </si>
  <si>
    <t>COM-01</t>
  </si>
  <si>
    <t>Quando un ordine si considera «confermato»: appena inserito o quando passa «in lavorazione»?</t>
  </si>
  <si>
    <t>Da lì parte la proposta di etichettatura se mancano bottiglie etichettate.</t>
  </si>
  <si>
    <t>Quando passa in lavorazione</t>
  </si>
  <si>
    <t>25/09/2026: Dante non lo sa, da chiedere al commerciale.</t>
  </si>
  <si>
    <t>COM-02</t>
  </si>
  <si>
    <t>Oggi qualcuno aggiorna lo stato di produzione delle righe d'ordine? Deve restare manuale?</t>
  </si>
  <si>
    <t>Più avanti il software potrà aggiornarlo da solo con l'etichettatura.</t>
  </si>
  <si>
    <t>Nessuno / il magazziniere</t>
  </si>
  <si>
    <t>COM-03</t>
  </si>
  <si>
    <t>Le «bottiglie spedite» nelle dashboard devono contare gli ordini evasi?</t>
  </si>
  <si>
    <t>Oggi contano le righe segnate «completato», anche se non ancora spedite.</t>
  </si>
  <si>
    <t>Sì, gli ordini evasi</t>
  </si>
  <si>
    <t>COM-04</t>
  </si>
  <si>
    <t>Alla spedizione annotate quali lotti d'imbottigliamento vanno a ogni cliente?</t>
  </si>
  <si>
    <t>È la base per un eventuale richiamo del prodotto.</t>
  </si>
  <si>
    <t>No / Sì, sul DDT</t>
  </si>
  <si>
    <t>PER-01</t>
  </si>
  <si>
    <t>Personale e sicurezza</t>
  </si>
  <si>
    <t>Chi deve vedere cosa nel portale? Ruoli per ufficio (Commerciale, Cantina, Magazzino, Amministrazione, Direzione).</t>
  </si>
  <si>
    <t>Oggi non ci sono ruoli: tutti vedono tutto.</t>
  </si>
  <si>
    <t>Cantina: Produzione e Magazzino</t>
  </si>
  <si>
    <t>PER-02</t>
  </si>
  <si>
    <t>Chi sono il responsabile della sicurezza (RSPP) e i preposti?</t>
  </si>
  <si>
    <t>Deroghe e controlli di sicurezza.</t>
  </si>
  <si>
    <t>RSPP: Studio X</t>
  </si>
  <si>
    <t>People</t>
  </si>
  <si>
    <t>PER-03</t>
  </si>
  <si>
    <t>RSPP: periodicità dei corsi, formazione obbligatoria per mansione, DPI e loro sostituzione.</t>
  </si>
  <si>
    <t>Scadenzario della formazione (i valori di partenza sono già nel software, da verificare).</t>
  </si>
  <si>
    <t>Verifica dei valori già inseriti</t>
  </si>
  <si>
    <t>RSPP</t>
  </si>
  <si>
    <t>PER-04</t>
  </si>
  <si>
    <t>Medico competente: quali mansioni sono soggette a sorveglianza sanitaria?</t>
  </si>
  <si>
    <t>Scadenze delle visite.</t>
  </si>
  <si>
    <t>Cantiniere, trattorista, …</t>
  </si>
  <si>
    <t>Medico competente</t>
  </si>
  <si>
    <t>PER-05</t>
  </si>
  <si>
    <t>Consulente del lavoro: quali colonne vuole nell'export mensile delle presenze?</t>
  </si>
  <si>
    <t>Export mensile senza ricopiare nulla.</t>
  </si>
  <si>
    <t>Tracciato del consulente</t>
  </si>
  <si>
    <t>Consulente del lavoro</t>
  </si>
  <si>
    <t>PER-06</t>
  </si>
  <si>
    <t>Consulente del lavoro: spettanze di ferie, ROL ed ex festività per contratto, e saldi iniziali.</t>
  </si>
  <si>
    <t>Contatori delle assenze corretti.</t>
  </si>
  <si>
    <t>CCNL operai agricoli: …</t>
  </si>
  <si>
    <t>PER-07</t>
  </si>
  <si>
    <t>Squadre di vendemmia e potatura: chi ne fa parte e chi è il caposquadra?</t>
  </si>
  <si>
    <t>Il caposquadra inserisce le ore di tutta la squadra.</t>
  </si>
  <si>
    <t>Squadra A: caposquadra X</t>
  </si>
  <si>
    <t>PER-08</t>
  </si>
  <si>
    <t>Per ogni fiera, quale dipendente ne è responsabile?</t>
  </si>
  <si>
    <t>Proposte delle ore più affidabili.</t>
  </si>
  <si>
    <t>AMM-01</t>
  </si>
  <si>
    <t>Amministrazione e costi</t>
  </si>
  <si>
    <t>I costi di vigneto li volete per parcella? Parcella come «oggetto di costo» (proposto) o un centro di costo per ogni parcella?</t>
  </si>
  <si>
    <t>Oggi c'è un centro «P101 Vigneto — particella 1».</t>
  </si>
  <si>
    <t>Oggetto di costo per parcella</t>
  </si>
  <si>
    <t>Finance</t>
  </si>
  <si>
    <t>AMM-02</t>
  </si>
  <si>
    <t>Il commercialista vuole il costo medio ponderato continuo per le rimanenze, o quello di periodo (mensile)?</t>
  </si>
  <si>
    <t>Metodo di valorizzazione del magazzino.</t>
  </si>
  <si>
    <t>Continuo</t>
  </si>
  <si>
    <t>Commercialista</t>
  </si>
  <si>
    <t>AMM-03</t>
  </si>
  <si>
    <t>Chi è il commercialista? Gli serve un accesso o un export periodico?</t>
  </si>
  <si>
    <t>Export per la contabilità.</t>
  </si>
  <si>
    <t>Studio X, export mensile</t>
  </si>
  <si>
    <t>SIS-01</t>
  </si>
  <si>
    <t>Sistemi e accessi</t>
  </si>
  <si>
    <t>Chi gestisce il DNS di marramiero.it? Servono 2 record per prenotazioni.marramiero.it.</t>
  </si>
  <si>
    <t>Il dominio delle prenotazioni oggi non funziona.</t>
  </si>
  <si>
    <t>Provider X, persona Y</t>
  </si>
  <si>
    <t>Dante</t>
  </si>
  <si>
    <t>SIS-02</t>
  </si>
  <si>
    <t>La chiave HR_FILES_KEY è stata copiata in un gestore di password?</t>
  </si>
  <si>
    <t>Senza quella chiave i documenti HR non si aprono più.</t>
  </si>
  <si>
    <t>SIS-03</t>
  </si>
  <si>
    <t>Quando cambiamo la chiave master (in passato è finita nei log)?</t>
  </si>
  <si>
    <t>Sicurezza degli accessi.</t>
  </si>
  <si>
    <t>SIS-04</t>
  </si>
  <si>
    <t>Il backup del volume Railway è attivo?</t>
  </si>
  <si>
    <t>Database e allegati stanno su un solo volume.</t>
  </si>
  <si>
    <t>SIS-05</t>
  </si>
  <si>
    <t>Quale servizio email usiamo per gli avvisi (Gmail o Resend)?</t>
  </si>
  <si>
    <t>Oggi in produzione non parte nessuna email.</t>
  </si>
  <si>
    <t>Resend con il dominio marramiero.it</t>
  </si>
  <si>
    <t>SIS-06</t>
  </si>
  <si>
    <t>Quando attiviamo i pagamenti Stripe?</t>
  </si>
  <si>
    <t>Prenotazioni e ritiri online pagati.</t>
  </si>
  <si>
    <t>Enoturismo</t>
  </si>
  <si>
    <t>Dati</t>
  </si>
  <si>
    <t>Colonne minime</t>
  </si>
  <si>
    <t>Chi lo prepara</t>
  </si>
  <si>
    <t>FOG-01</t>
  </si>
  <si>
    <t>Parcelle</t>
  </si>
  <si>
    <t>codice, nome, vigneto, vitigno, clone, portinnesto, anno d'impianto, sesto (cm × cm), n. ceppi, forma di allevamento, esposizione, altitudine, superficie vitata m², DO idonee, biologico</t>
  </si>
  <si>
    <t>Da preparare</t>
  </si>
  <si>
    <t>FOG-02</t>
  </si>
  <si>
    <t>Particelle catastali</t>
  </si>
  <si>
    <t>comune, foglio, particella, subalterno, superficie catastale m², parcelle che contiene con la superficie vitata, codice unità vitata dello schedario</t>
  </si>
  <si>
    <t>FOG-03</t>
  </si>
  <si>
    <t>Vasi</t>
  </si>
  <si>
    <t>codice, tipo (inox, cemento, tino, botte, anfora, autoclave…), materiale, capacità in litri, luogo, termocondizionato sì/no, spazio confinato sì/no</t>
  </si>
  <si>
    <t>FOG-04</t>
  </si>
  <si>
    <t>Barrique e legni</t>
  </si>
  <si>
    <t>codice, tonnelleria, origine del rovere, foresta, grana, tostatura, capacità in litri, data d'acquisto, costo, passaggi già fatti</t>
  </si>
  <si>
    <t>FOG-05</t>
  </si>
  <si>
    <t>Vini in cantina oggi</t>
  </si>
  <si>
    <t>vaso, codice lotto, vino, annata, volume in litri, vitigni con %, denominazione, stato (mosto, vino, base spumante, sui lieviti…)</t>
  </si>
  <si>
    <t>FOG-06</t>
  </si>
  <si>
    <t>Fitofarmaci</t>
  </si>
  <si>
    <t>nome commerciale, n. di registrazione, sostanza attiva, dose massima per ettaro, unità, giorni di carenza, ore di rientro, n. massimo di applicazioni l'anno, ammesso in biologico</t>
  </si>
  <si>
    <t>FOG-07</t>
  </si>
  <si>
    <t>Trattamenti 2026</t>
  </si>
  <si>
    <t>il registro dei trattamenti di quest'anno così com'è (foto del quaderno, Excel o export)</t>
  </si>
  <si>
    <t>FOG-08</t>
  </si>
  <si>
    <t>Attrezzature</t>
  </si>
  <si>
    <t>nome, tipo, targa o matricola, data dell'ultimo controllo funzionale (irroratrici)</t>
  </si>
  <si>
    <t>FOG-09</t>
  </si>
  <si>
    <t>Prodotti enologici</t>
  </si>
  <si>
    <t>nome, tipo (lievito, batteri, enzima, solfiti, bentonite…), fornitore, unità, lotto e scadenza tracciati sì/no</t>
  </si>
  <si>
    <t>FOG-10</t>
  </si>
  <si>
    <t>Materiali secchi</t>
  </si>
  <si>
    <t>codice, nome (bottiglie, tappi, capsule, gabbiette, etichette, cartoni…), unità, fornitore, scorta minima, giacenza di oggi</t>
  </si>
  <si>
    <t>FOG-11</t>
  </si>
  <si>
    <t>Etichette e prodotti finiti</t>
  </si>
  <si>
    <t>vino, annata, formato, SKU, EAN, varianti di etichetta</t>
  </si>
  <si>
    <t>FOG-12</t>
  </si>
  <si>
    <t>Distinte materiali</t>
  </si>
  <si>
    <t>per ogni vino e formato: materiali e quantità per bottiglia, separati tra imbottigliamento, etichettatura e confezionamento</t>
  </si>
  <si>
    <t>FOG-13</t>
  </si>
  <si>
    <t>Giacenze bottiglie</t>
  </si>
  <si>
    <t>vino, annata, formato, etichettate o nude, lotto d'imbottigliamento, quantità</t>
  </si>
  <si>
    <t>FOG-14</t>
  </si>
  <si>
    <t>Fornitori</t>
  </si>
  <si>
    <t>tonnellerie, vetro, tappi, etichette, prodotti enologici, laboratori, terzisti: ragione sociale, P.IVA, contatti, categoria</t>
  </si>
  <si>
    <t>FOG-15</t>
  </si>
  <si>
    <t>Dipendenti e squadre</t>
  </si>
  <si>
    <t>nome, mansione, squadra, caposquadra, patentino fitosanitario (scadenza), formazione spazi confinati (scadenza)</t>
  </si>
  <si>
    <t>FOG-16</t>
  </si>
  <si>
    <t>Analisi di maturazione degli anni passati</t>
  </si>
  <si>
    <t>parcella, data, zuccheri, acidità, pH e gli altri parametri che misurate</t>
  </si>
  <si>
    <t>Soglia</t>
  </si>
  <si>
    <t>Valore proposto</t>
  </si>
  <si>
    <t>Regola</t>
  </si>
  <si>
    <t>Fonte da verificare</t>
  </si>
  <si>
    <t>Chi valida</t>
  </si>
  <si>
    <t>Valore confermato</t>
  </si>
  <si>
    <t>Validato da</t>
  </si>
  <si>
    <t>SOG-01</t>
  </si>
  <si>
    <t>Finestra in cui sono ammesse le fermentazioni</t>
  </si>
  <si>
    <t>15/7 → 31/12 (salvo deroghe)</t>
  </si>
  <si>
    <t>PRD-H05</t>
  </si>
  <si>
    <t>Normativa nazionale; deroghe da disciplinare</t>
  </si>
  <si>
    <t>Da validare</t>
  </si>
  <si>
    <t>SOG-02</t>
  </si>
  <si>
    <t>Acidificazione registrabile senza dichiarazione preventiva</t>
  </si>
  <si>
    <t>4 g/l in acido tartarico</t>
  </si>
  <si>
    <t>PRD-C10</t>
  </si>
  <si>
    <t>Normativa sulle pratiche enologiche</t>
  </si>
  <si>
    <t>SOG-03</t>
  </si>
  <si>
    <t>Quota minima per indicare annata o vitigno</t>
  </si>
  <si>
    <t>85%</t>
  </si>
  <si>
    <t>PRD-C06</t>
  </si>
  <si>
    <t>Normativa sull'etichettatura</t>
  </si>
  <si>
    <t>SOG-04</t>
  </si>
  <si>
    <t>Arresto di fermentazione</t>
  </si>
  <si>
    <t>Densità ferma per 48 ore (calo minimo da definire)</t>
  </si>
  <si>
    <t>PRD-C12</t>
  </si>
  <si>
    <t>Pratica di cantina</t>
  </si>
  <si>
    <t>SOG-05</t>
  </si>
  <si>
    <t>Trattamento registrato in ritardo</t>
  </si>
  <si>
    <t>Oltre 30 giorni dall'esecuzione</t>
  </si>
  <si>
    <t>PRD-V08</t>
  </si>
  <si>
    <t>Normativa sul registro dei trattamenti</t>
  </si>
  <si>
    <t>SOG-06</t>
  </si>
  <si>
    <t>Tempo minimo sui lieviti (metodo classico)</t>
  </si>
  <si>
    <t>9 mesi, per tipologia e menzione</t>
  </si>
  <si>
    <t>PRD-M02</t>
  </si>
  <si>
    <t>Disciplinari e normativa UE</t>
  </si>
  <si>
    <t>SOG-07</t>
  </si>
  <si>
    <t>Tolleranza di un travaso senza calo dichiarato</t>
  </si>
  <si>
    <t>0,5% del volume</t>
  </si>
  <si>
    <t>PRD-C04</t>
  </si>
  <si>
    <t>SOG-08</t>
  </si>
  <si>
    <t>SO2 totale: soglia di attenzione e limite, per categoria</t>
  </si>
  <si>
    <t>Da tabella (fermi, spumanti, biologico, zuccheri residui)</t>
  </si>
  <si>
    <t>PRD-C14</t>
  </si>
  <si>
    <t>Normativa UE sulle pratiche enologiche</t>
  </si>
  <si>
    <t>SOG-09</t>
  </si>
  <si>
    <t>Acidità volatile: soglia di attenzione e limite</t>
  </si>
  <si>
    <t>Da tabella per bianchi, rosati e rossi</t>
  </si>
  <si>
    <t>SOG-10</t>
  </si>
  <si>
    <t>Categorie di dosaggio degli spumanti</t>
  </si>
  <si>
    <t>Tabella UE (pas dosé … dolce) con tolleranza</t>
  </si>
  <si>
    <t>PRD-M03</t>
  </si>
  <si>
    <t>Normativa UE sull'etichettatura degli spumanti</t>
  </si>
  <si>
    <t>SOG-11</t>
  </si>
  <si>
    <t>Pressione minima per categoria di spumante</t>
  </si>
  <si>
    <t>Da tabella</t>
  </si>
  <si>
    <t>PRD-M05</t>
  </si>
  <si>
    <t>Normativa UE</t>
  </si>
  <si>
    <t>SOG-12</t>
  </si>
  <si>
    <t>Resa massima di uva per ettaro</t>
  </si>
  <si>
    <t>Dal disciplinare di ogni DO; vini generici 30 t/ha (40 dove previsto)</t>
  </si>
  <si>
    <t>PRD-H03</t>
  </si>
  <si>
    <t>Disciplinari, normativa nazionale</t>
  </si>
  <si>
    <t>SOG-13</t>
  </si>
  <si>
    <t>Resa massima di trasformazione uva → vino</t>
  </si>
  <si>
    <t>Dal disciplinare di ogni DO</t>
  </si>
  <si>
    <t>PRD-H04</t>
  </si>
  <si>
    <t>Disciplinari</t>
  </si>
  <si>
    <t>SOG-14</t>
  </si>
  <si>
    <t>Analisi prima dell'imbottigliamento</t>
  </si>
  <si>
    <t>Parametri da definire, entro 30 giorni</t>
  </si>
  <si>
    <t>PRD-P02</t>
  </si>
  <si>
    <t>SOG-15</t>
  </si>
  <si>
    <t>Frequenza delle colmature</t>
  </si>
  <si>
    <t>Ogni 14 giorni</t>
  </si>
  <si>
    <t>PRD-B01</t>
  </si>
  <si>
    <t>SOG-16</t>
  </si>
  <si>
    <t>Barrique vuota senza solforazione</t>
  </si>
  <si>
    <t>Allarme dopo 21 giorni</t>
  </si>
  <si>
    <t>PRD-B05</t>
  </si>
  <si>
    <t>SOG-17</t>
  </si>
  <si>
    <t>Vita utile di una barrique</t>
  </si>
  <si>
    <t>5 passaggi</t>
  </si>
  <si>
    <t>PRD-B04</t>
  </si>
  <si>
    <t>SOG-18</t>
  </si>
  <si>
    <t>Spazi confinati: persone abilitate presenti</t>
  </si>
  <si>
    <t>Almeno 2</t>
  </si>
  <si>
    <t>PRD-C17</t>
  </si>
  <si>
    <t>DPR 177/2011, documento di valutazione dei rischi</t>
  </si>
  <si>
    <t>SOG-19</t>
  </si>
  <si>
    <t>Scadenze del registro SIAN</t>
  </si>
  <si>
    <t>Ordinario: entrate entro il giorno lavorativo dopo, uscite entro il terzo; deroga: 30 giorni</t>
  </si>
  <si>
    <t>PRD-S02</t>
  </si>
  <si>
    <t>DM 293/2015</t>
  </si>
  <si>
    <t>SOG-20</t>
  </si>
  <si>
    <t>Avviso prima della scadenza SIAN</t>
  </si>
  <si>
    <t>1 giorno lavorativo prima</t>
  </si>
  <si>
    <t>—</t>
  </si>
  <si>
    <t>Per area</t>
  </si>
  <si>
    <t>Domande</t>
  </si>
  <si>
    <t>Con risposta</t>
  </si>
  <si>
    <t>Mancanti</t>
  </si>
  <si>
    <t>% fatto</t>
  </si>
  <si>
    <t>Totale</t>
  </si>
  <si>
    <t>Per persona</t>
  </si>
  <si>
    <t>Dati per l'onboarding pronti</t>
  </si>
  <si>
    <t>Soglie validate</t>
  </si>
  <si>
    <t>Tema</t>
  </si>
  <si>
    <t>Proposta</t>
  </si>
  <si>
    <t>Decisione</t>
  </si>
  <si>
    <t>DP1</t>
  </si>
  <si>
    <t>Database</t>
  </si>
  <si>
    <t>Restare su SQLite (come deciso il 24/09), valori analitici come interi × 10.000</t>
  </si>
  <si>
    <t>Approvata</t>
  </si>
  <si>
    <t>DP2</t>
  </si>
  <si>
    <t>Eventi</t>
  </si>
  <si>
    <t>Contratto v1 con Finance (docs/produzione/eventi.md); versione e autore su ogni evento</t>
  </si>
  <si>
    <t>DP3</t>
  </si>
  <si>
    <t>Oggetti di costo</t>
  </si>
  <si>
    <t>Nuovi tipi parcella, ordine di lavoro, imbottigliamento; lotto collegato al lotto di vino (si ricostruisce la tabella)</t>
  </si>
  <si>
    <t>DP4</t>
  </si>
  <si>
    <t>Permessi</t>
  </si>
  <si>
    <t>Capacità per ruolo dentro Produzione: enologo, cantiniere, capo squadra, agronomo, responsabile qualità, sola lettura</t>
  </si>
  <si>
    <t>DP5</t>
  </si>
  <si>
    <t>Lotti e scadenze delle materie prime, semilavorati, giacenza per variante e lotto; colonne aggiunte alla 0014 prima di pubblicarla</t>
  </si>
  <si>
    <t>DP6</t>
  </si>
  <si>
    <t>Fuso orario</t>
  </si>
  <si>
    <t>Ora italiana per Produzione; correzione a parte per i moduli esistenti</t>
  </si>
  <si>
    <t>DP7</t>
  </si>
  <si>
    <t>Stato di produzione delle righe</t>
  </si>
  <si>
    <t>Per ora manuale; in Fase 6 automatico solo con il via; «bottiglie spedite» dagli ordini evasi</t>
  </si>
  <si>
    <t>DP8</t>
  </si>
  <si>
    <t>Varianti di etichetta</t>
  </si>
  <si>
    <t>Catalogo delle varianti; la riga d'ordine resta testo e si abbina</t>
  </si>
  <si>
    <t>DP9</t>
  </si>
  <si>
    <t>Schermate</t>
  </si>
  <si>
    <t>Gestione nel portale + pagina di campo per tablet e smartphone; QR letti con la fotocamera; stampe HTML; bozze offline in vigneto</t>
  </si>
  <si>
    <t>Deve funzionare su tutti i dispositivi: iPad, tablet Android, smartphone aziendali e personali (AZ-03).</t>
  </si>
  <si>
    <t>DP10</t>
  </si>
  <si>
    <t>Testi</t>
  </si>
  <si>
    <t>Dizionario italiano centralizzato per Produzione, pronto per l'inglese</t>
  </si>
  <si>
    <t>DP11</t>
  </si>
  <si>
    <t>Codici dei lotti</t>
  </si>
  <si>
    <t>Seguire la numerazione attuale (vedi CAN-04, IMB-02); proposta 26-PEC-03 e L2626801</t>
  </si>
  <si>
    <t>La numerazione attuale è da raccogliere (CAN-04, IMB-02).</t>
  </si>
  <si>
    <t>DP12</t>
  </si>
  <si>
    <t>Configurazione normativa</t>
  </si>
  <si>
    <t>Tabella prd_config con valori «da validare» (foglio Soglie da validare)</t>
  </si>
  <si>
    <t>DP13</t>
  </si>
  <si>
    <t>Annata agraria</t>
  </si>
  <si>
    <t>Per il vigneto: anno di vendemmia e anno solare; la campagna 1/8–31/7 per cantina e registro</t>
  </si>
  <si>
    <t>Aperta: Dante la chiede all'agronomo</t>
  </si>
  <si>
    <t>Domanda VIG-11.</t>
  </si>
  <si>
    <t>DP14</t>
  </si>
  <si>
    <t>Parcelle e catasto</t>
  </si>
  <si>
    <t>Elenco delle particelle con superficie e collegamento parcella ↔ particella</t>
  </si>
  <si>
    <t>DP15</t>
  </si>
  <si>
    <t>Ordine delle fasi</t>
  </si>
  <si>
    <t>Nucleo del motore delle operazioni già nella Fase 3</t>
  </si>
  <si>
    <t>DP16</t>
  </si>
  <si>
    <t>Apertura della cantina</t>
  </si>
  <si>
    <t>I vini oggi in cantina come punto di partenza, invece di ricostruire la vendemmia 2026</t>
  </si>
  <si>
    <t>Rimandata all'onboarding</t>
  </si>
  <si>
    <t>Si decide con la procedura di onboarding (DP18).</t>
  </si>
  <si>
    <t>DP17</t>
  </si>
  <si>
    <t>Unità di misura</t>
  </si>
  <si>
    <t>Unità a schermo personalizzabili in Impostazioni (volumi, pesi, zuccheri); si salva sempre in ml e g</t>
  </si>
  <si>
    <t>Richiesta di Dante</t>
  </si>
  <si>
    <t>Partenza: ettolitri e quintali; scala degli zuccheri da definire (AZ-05).</t>
  </si>
  <si>
    <t>DP18</t>
  </si>
  <si>
    <t>Onboarding</t>
  </si>
  <si>
    <t>Procedura dedicata con modelli Excel standard che la cantina compila, separata dalle Impostazioni; da progettare più avanti</t>
  </si>
  <si>
    <t>Da progettare più avanti, separata dalle Impostazioni.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</si>
</sst>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F181E"/>
      <sz val="18"/>
    </font>
    <font>
      <i/>
      <color rgb="FF555555"/>
      <sz val="11"/>
    </font>
    <font>
      <b/>
      <color rgb="FF3F181E"/>
      <sz val="13"/>
    </font>
    <font>
      <sz val="11"/>
    </font>
    <font>
      <b/>
      <color rgb="FFFFFFFF"/>
      <sz val="11"/>
      <name val="Calibri"/>
    </font>
    <font>
      <b/>
      <color rgb="FFB00020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F181E"/>
      </patternFill>
    </fill>
    <fill>
      <patternFill patternType="solid">
        <fgColor rgb="FFFFF6D5"/>
      </patternFill>
    </fill>
    <fill>
      <patternFill patternType="solid">
        <fgColor rgb="FFF4EDE2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0" borderId="0" xfId="0" applyFont="1"/>
    <xf numFmtId="0" fontId="7" fillId="2" borderId="0" xfId="0" applyFont="1" applyFill="1"/>
    <xf numFmtId="0" fontId="0" fillId="0" borderId="1" xfId="0" applyBorder="1"/>
    <xf numFmtId="9" fontId="0" fillId="0" borderId="1" xfId="0" applyNumberFormat="1" applyBorder="1"/>
    <xf numFmtId="0" fontId="8" fillId="4" borderId="0" xfId="0" applyFont="1" applyFill="1"/>
    <xf numFmtId="9" fontId="8" fillId="4" borderId="0" xfId="0" applyNumberFormat="1" applyFont="1" applyFill="1"/>
    <xf numFmtId="0" fontId="8" fillId="0" borderId="0" xfId="0" applyFont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CEFD9"/>
        </patternFill>
      </fill>
    </dxf>
    <dxf>
      <fill>
        <patternFill patternType="solid">
          <bgColor rgb="FFFBE3C8"/>
        </patternFill>
      </fill>
    </dxf>
    <dxf>
      <font>
        <color rgb="FF888888"/>
      </font>
      <fill>
        <patternFill patternType="solid">
          <bgColor rgb="FFEFEFEF"/>
        </patternFill>
      </fill>
    </dxf>
    <dxf>
      <fill>
        <patternFill patternType="solid">
          <bgColor rgb="FFDCEFD9"/>
        </patternFill>
      </fill>
    </dxf>
    <dxf>
      <fill>
        <patternFill patternType="solid">
          <bgColor rgb="FFFBE3C8"/>
        </patternFill>
      </fill>
    </dxf>
    <dxf>
      <fill>
        <patternFill patternType="solid">
          <bgColor rgb="FFDCEFD9"/>
        </patternFill>
      </fill>
    </dxf>
    <dxf>
      <fill>
        <patternFill patternType="solid">
          <bgColor rgb="FFFBE3C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181E"/>
    <pageSetUpPr fitToPage="1"/>
  </sheetPr>
  <dimension ref="B2:B19"/>
  <sheetFormatPr defaultRowHeight="15" outlineLevelRow="0" outlineLevelCol="0" x14ac:dyDescent="55"/>
  <cols>
    <col min="1" max="1" width="4" customWidth="1"/>
    <col min="2" max="2" width="11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ht="26" customHeight="1" spans="2:2" x14ac:dyDescent="0.25">
      <c r="B4" s="3" t="s">
        <v>2</v>
      </c>
    </row>
    <row r="5" spans="2:2" x14ac:dyDescent="0.25">
      <c r="B5" s="4" t="s">
        <v>3</v>
      </c>
    </row>
    <row r="6" spans="2:2" x14ac:dyDescent="0.25">
      <c r="B6" s="4" t="s">
        <v>4</v>
      </c>
    </row>
    <row r="7" spans="2:2" x14ac:dyDescent="0.25">
      <c r="B7" s="4" t="s">
        <v>5</v>
      </c>
    </row>
    <row r="8" spans="2:2" x14ac:dyDescent="0.25">
      <c r="B8" s="4" t="s">
        <v>6</v>
      </c>
    </row>
    <row r="9" spans="2:2" x14ac:dyDescent="0.25">
      <c r="B9" s="4" t="s">
        <v>7</v>
      </c>
    </row>
    <row r="10" spans="2:2" x14ac:dyDescent="0.25">
      <c r="B10" s="4" t="s">
        <v>8</v>
      </c>
    </row>
    <row r="11" ht="26" customHeight="1" spans="2:2" x14ac:dyDescent="0.25">
      <c r="B11" s="3" t="s">
        <v>9</v>
      </c>
    </row>
    <row r="12" spans="2:2" x14ac:dyDescent="0.25">
      <c r="B12" s="4" t="s">
        <v>10</v>
      </c>
    </row>
    <row r="13" ht="26" customHeight="1" spans="2:2" x14ac:dyDescent="0.25">
      <c r="B13" s="3" t="s">
        <v>11</v>
      </c>
    </row>
    <row r="14" spans="2:2" x14ac:dyDescent="0.25">
      <c r="B14" s="4" t="s">
        <v>12</v>
      </c>
    </row>
    <row r="15" spans="2:2" x14ac:dyDescent="0.25">
      <c r="B15" s="4" t="s">
        <v>13</v>
      </c>
    </row>
    <row r="16" spans="2:2" x14ac:dyDescent="0.25">
      <c r="B16" s="4" t="s">
        <v>14</v>
      </c>
    </row>
    <row r="17" spans="2:2" x14ac:dyDescent="0.25">
      <c r="B17" s="4" t="s">
        <v>15</v>
      </c>
    </row>
    <row r="18" ht="26" customHeight="1" spans="2:2" x14ac:dyDescent="0.25">
      <c r="B18" s="3" t="s">
        <v>16</v>
      </c>
    </row>
    <row r="19" spans="2:2" x14ac:dyDescent="0.25">
      <c r="B19" s="4" t="s">
        <v>17</v>
      </c>
    </row>
  </sheetData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860B"/>
    <pageSetUpPr fitToPage="1"/>
  </sheetPr>
  <dimension ref="A1:M1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8" customWidth="1"/>
    <col min="3" max="3" width="58" customWidth="1"/>
    <col min="4" max="4" width="40" customWidth="1"/>
    <col min="5" max="5" width="32" customWidth="1"/>
    <col min="6" max="6" width="18" customWidth="1"/>
    <col min="7" max="7" width="10" customWidth="1"/>
    <col min="8" max="8" width="22" customWidth="1"/>
    <col min="9" max="9" width="48" customWidth="1"/>
    <col min="10" max="10" width="18" customWidth="1"/>
    <col min="11" max="11" width="12" customWidth="1"/>
    <col min="12" max="12" width="15" customWidth="1"/>
    <col min="13" max="13" width="36" customWidth="1"/>
  </cols>
  <sheetData>
    <row r="1" ht="30" customHeight="1" spans="1:13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9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</row>
    <row r="2" spans="1:13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7" t="s">
        <v>36</v>
      </c>
      <c r="H2" s="6" t="s">
        <v>37</v>
      </c>
      <c r="I2" s="8" t="s">
        <v>38</v>
      </c>
      <c r="J2" s="8" t="s">
        <v>38</v>
      </c>
      <c r="K2" s="8" t="s">
        <v>38</v>
      </c>
      <c r="L2" s="8" t="s">
        <v>39</v>
      </c>
      <c r="M2" s="8" t="s">
        <v>38</v>
      </c>
    </row>
    <row r="3" spans="1:13" x14ac:dyDescent="0.25">
      <c r="A3" s="6" t="s">
        <v>40</v>
      </c>
      <c r="B3" s="6" t="s">
        <v>31</v>
      </c>
      <c r="C3" s="6" t="s">
        <v>41</v>
      </c>
      <c r="D3" s="6" t="s">
        <v>42</v>
      </c>
      <c r="E3" s="6" t="s">
        <v>43</v>
      </c>
      <c r="F3" s="6" t="s">
        <v>35</v>
      </c>
      <c r="G3" s="7" t="s">
        <v>36</v>
      </c>
      <c r="H3" s="6" t="s">
        <v>44</v>
      </c>
      <c r="I3" s="8" t="s">
        <v>45</v>
      </c>
      <c r="J3" s="8" t="s">
        <v>46</v>
      </c>
      <c r="K3" s="8" t="s">
        <v>47</v>
      </c>
      <c r="L3" s="8" t="s">
        <v>48</v>
      </c>
      <c r="M3" s="8" t="s">
        <v>49</v>
      </c>
    </row>
    <row r="4" spans="1:13" x14ac:dyDescent="0.25">
      <c r="A4" s="6" t="s">
        <v>50</v>
      </c>
      <c r="B4" s="6" t="s">
        <v>31</v>
      </c>
      <c r="C4" s="6" t="s">
        <v>51</v>
      </c>
      <c r="D4" s="6" t="s">
        <v>52</v>
      </c>
      <c r="E4" s="6" t="s">
        <v>53</v>
      </c>
      <c r="F4" s="6" t="s">
        <v>35</v>
      </c>
      <c r="G4" s="7" t="s">
        <v>36</v>
      </c>
      <c r="H4" s="6" t="s">
        <v>44</v>
      </c>
      <c r="I4" s="8" t="s">
        <v>54</v>
      </c>
      <c r="J4" s="8" t="s">
        <v>46</v>
      </c>
      <c r="K4" s="8" t="s">
        <v>47</v>
      </c>
      <c r="L4" s="8" t="s">
        <v>55</v>
      </c>
      <c r="M4" s="8" t="s">
        <v>38</v>
      </c>
    </row>
    <row r="5" spans="1:13" x14ac:dyDescent="0.25">
      <c r="A5" s="6" t="s">
        <v>56</v>
      </c>
      <c r="B5" s="6" t="s">
        <v>31</v>
      </c>
      <c r="C5" s="6" t="s">
        <v>57</v>
      </c>
      <c r="D5" s="6" t="s">
        <v>58</v>
      </c>
      <c r="E5" s="6" t="s">
        <v>59</v>
      </c>
      <c r="F5" s="6" t="s">
        <v>60</v>
      </c>
      <c r="G5" s="6" t="s">
        <v>61</v>
      </c>
      <c r="H5" s="6" t="s">
        <v>62</v>
      </c>
      <c r="I5" s="8" t="s">
        <v>38</v>
      </c>
      <c r="J5" s="8" t="s">
        <v>38</v>
      </c>
      <c r="K5" s="8" t="s">
        <v>38</v>
      </c>
      <c r="L5" s="8" t="s">
        <v>39</v>
      </c>
      <c r="M5" s="8" t="s">
        <v>38</v>
      </c>
    </row>
    <row r="6" spans="1:13" x14ac:dyDescent="0.25">
      <c r="A6" s="6" t="s">
        <v>63</v>
      </c>
      <c r="B6" s="6" t="s">
        <v>31</v>
      </c>
      <c r="C6" s="6" t="s">
        <v>64</v>
      </c>
      <c r="D6" s="6" t="s">
        <v>65</v>
      </c>
      <c r="E6" s="6" t="s">
        <v>66</v>
      </c>
      <c r="F6" s="6" t="s">
        <v>67</v>
      </c>
      <c r="G6" s="7" t="s">
        <v>36</v>
      </c>
      <c r="H6" s="6" t="s">
        <v>44</v>
      </c>
      <c r="I6" s="8" t="s">
        <v>68</v>
      </c>
      <c r="J6" s="8" t="s">
        <v>46</v>
      </c>
      <c r="K6" s="8" t="s">
        <v>47</v>
      </c>
      <c r="L6" s="8" t="s">
        <v>48</v>
      </c>
      <c r="M6" s="8" t="s">
        <v>69</v>
      </c>
    </row>
    <row r="7" spans="1:13" x14ac:dyDescent="0.25">
      <c r="A7" s="6" t="s">
        <v>70</v>
      </c>
      <c r="B7" s="6" t="s">
        <v>31</v>
      </c>
      <c r="C7" s="6" t="s">
        <v>71</v>
      </c>
      <c r="D7" s="6" t="s">
        <v>72</v>
      </c>
      <c r="E7" s="6" t="s">
        <v>73</v>
      </c>
      <c r="F7" s="6" t="s">
        <v>35</v>
      </c>
      <c r="G7" s="6" t="s">
        <v>74</v>
      </c>
      <c r="H7" s="6" t="s">
        <v>37</v>
      </c>
      <c r="I7" s="8" t="s">
        <v>38</v>
      </c>
      <c r="J7" s="8" t="s">
        <v>38</v>
      </c>
      <c r="K7" s="8" t="s">
        <v>38</v>
      </c>
      <c r="L7" s="8" t="s">
        <v>39</v>
      </c>
      <c r="M7" s="8" t="s">
        <v>38</v>
      </c>
    </row>
    <row r="8" spans="1:13" x14ac:dyDescent="0.25">
      <c r="A8" s="6" t="s">
        <v>75</v>
      </c>
      <c r="B8" s="6" t="s">
        <v>76</v>
      </c>
      <c r="C8" s="6" t="s">
        <v>77</v>
      </c>
      <c r="D8" s="6" t="s">
        <v>78</v>
      </c>
      <c r="E8" s="6" t="s">
        <v>79</v>
      </c>
      <c r="F8" s="6" t="s">
        <v>80</v>
      </c>
      <c r="G8" s="7" t="s">
        <v>36</v>
      </c>
      <c r="H8" s="6" t="s">
        <v>81</v>
      </c>
      <c r="I8" s="8" t="s">
        <v>38</v>
      </c>
      <c r="J8" s="8" t="s">
        <v>38</v>
      </c>
      <c r="K8" s="8" t="s">
        <v>38</v>
      </c>
      <c r="L8" s="8" t="s">
        <v>39</v>
      </c>
      <c r="M8" s="8" t="s">
        <v>82</v>
      </c>
    </row>
    <row r="9" spans="1:13" x14ac:dyDescent="0.25">
      <c r="A9" s="6" t="s">
        <v>83</v>
      </c>
      <c r="B9" s="6" t="s">
        <v>76</v>
      </c>
      <c r="C9" s="6" t="s">
        <v>84</v>
      </c>
      <c r="D9" s="6" t="s">
        <v>85</v>
      </c>
      <c r="E9" s="6" t="s">
        <v>86</v>
      </c>
      <c r="F9" s="6" t="s">
        <v>80</v>
      </c>
      <c r="G9" s="7" t="s">
        <v>36</v>
      </c>
      <c r="H9" s="6" t="s">
        <v>81</v>
      </c>
      <c r="I9" s="8" t="s">
        <v>38</v>
      </c>
      <c r="J9" s="8" t="s">
        <v>38</v>
      </c>
      <c r="K9" s="8" t="s">
        <v>38</v>
      </c>
      <c r="L9" s="8" t="s">
        <v>39</v>
      </c>
      <c r="M9" s="8" t="s">
        <v>38</v>
      </c>
    </row>
    <row r="10" spans="1:13" x14ac:dyDescent="0.25">
      <c r="A10" s="6" t="s">
        <v>87</v>
      </c>
      <c r="B10" s="6" t="s">
        <v>76</v>
      </c>
      <c r="C10" s="6" t="s">
        <v>88</v>
      </c>
      <c r="D10" s="6" t="s">
        <v>89</v>
      </c>
      <c r="E10" s="6" t="s">
        <v>90</v>
      </c>
      <c r="F10" s="6" t="s">
        <v>80</v>
      </c>
      <c r="G10" s="7" t="s">
        <v>36</v>
      </c>
      <c r="H10" s="6" t="s">
        <v>44</v>
      </c>
      <c r="I10" s="8" t="s">
        <v>38</v>
      </c>
      <c r="J10" s="8" t="s">
        <v>38</v>
      </c>
      <c r="K10" s="8" t="s">
        <v>38</v>
      </c>
      <c r="L10" s="8" t="s">
        <v>39</v>
      </c>
      <c r="M10" s="8" t="s">
        <v>82</v>
      </c>
    </row>
    <row r="11" spans="1:13" x14ac:dyDescent="0.25">
      <c r="A11" s="6" t="s">
        <v>91</v>
      </c>
      <c r="B11" s="6" t="s">
        <v>76</v>
      </c>
      <c r="C11" s="6" t="s">
        <v>92</v>
      </c>
      <c r="D11" s="6" t="s">
        <v>93</v>
      </c>
      <c r="E11" s="6" t="s">
        <v>94</v>
      </c>
      <c r="F11" s="6" t="s">
        <v>95</v>
      </c>
      <c r="G11" s="7" t="s">
        <v>36</v>
      </c>
      <c r="H11" s="6" t="s">
        <v>81</v>
      </c>
      <c r="I11" s="8" t="s">
        <v>38</v>
      </c>
      <c r="J11" s="8" t="s">
        <v>38</v>
      </c>
      <c r="K11" s="8" t="s">
        <v>38</v>
      </c>
      <c r="L11" s="8" t="s">
        <v>39</v>
      </c>
      <c r="M11" s="8" t="s">
        <v>96</v>
      </c>
    </row>
    <row r="12" spans="1:13" x14ac:dyDescent="0.25">
      <c r="A12" s="6" t="s">
        <v>97</v>
      </c>
      <c r="B12" s="6" t="s">
        <v>76</v>
      </c>
      <c r="C12" s="6" t="s">
        <v>98</v>
      </c>
      <c r="D12" s="6" t="s">
        <v>99</v>
      </c>
      <c r="E12" s="6" t="s">
        <v>100</v>
      </c>
      <c r="F12" s="6" t="s">
        <v>80</v>
      </c>
      <c r="G12" s="6" t="s">
        <v>61</v>
      </c>
      <c r="H12" s="6" t="s">
        <v>81</v>
      </c>
      <c r="I12" s="8" t="s">
        <v>38</v>
      </c>
      <c r="J12" s="8" t="s">
        <v>38</v>
      </c>
      <c r="K12" s="8" t="s">
        <v>38</v>
      </c>
      <c r="L12" s="8" t="s">
        <v>39</v>
      </c>
      <c r="M12" s="8" t="s">
        <v>82</v>
      </c>
    </row>
    <row r="13" spans="1:13" x14ac:dyDescent="0.25">
      <c r="A13" s="6" t="s">
        <v>101</v>
      </c>
      <c r="B13" s="6" t="s">
        <v>76</v>
      </c>
      <c r="C13" s="6" t="s">
        <v>102</v>
      </c>
      <c r="D13" s="6" t="s">
        <v>103</v>
      </c>
      <c r="E13" s="6" t="s">
        <v>104</v>
      </c>
      <c r="F13" s="6" t="s">
        <v>35</v>
      </c>
      <c r="G13" s="6" t="s">
        <v>61</v>
      </c>
      <c r="H13" s="6" t="s">
        <v>81</v>
      </c>
      <c r="I13" s="8" t="s">
        <v>38</v>
      </c>
      <c r="J13" s="8" t="s">
        <v>38</v>
      </c>
      <c r="K13" s="8" t="s">
        <v>38</v>
      </c>
      <c r="L13" s="8" t="s">
        <v>39</v>
      </c>
      <c r="M13" s="8" t="s">
        <v>38</v>
      </c>
    </row>
    <row r="14" spans="1:13" x14ac:dyDescent="0.25">
      <c r="A14" s="6" t="s">
        <v>105</v>
      </c>
      <c r="B14" s="6" t="s">
        <v>76</v>
      </c>
      <c r="C14" s="6" t="s">
        <v>106</v>
      </c>
      <c r="D14" s="6" t="s">
        <v>107</v>
      </c>
      <c r="E14" s="6" t="s">
        <v>108</v>
      </c>
      <c r="F14" s="6" t="s">
        <v>80</v>
      </c>
      <c r="G14" s="6" t="s">
        <v>61</v>
      </c>
      <c r="H14" s="6" t="s">
        <v>81</v>
      </c>
      <c r="I14" s="8" t="s">
        <v>38</v>
      </c>
      <c r="J14" s="8" t="s">
        <v>38</v>
      </c>
      <c r="K14" s="8" t="s">
        <v>38</v>
      </c>
      <c r="L14" s="8" t="s">
        <v>39</v>
      </c>
      <c r="M14" s="8" t="s">
        <v>38</v>
      </c>
    </row>
    <row r="15" spans="1:13" x14ac:dyDescent="0.25">
      <c r="A15" s="6" t="s">
        <v>109</v>
      </c>
      <c r="B15" s="6" t="s">
        <v>76</v>
      </c>
      <c r="C15" s="6" t="s">
        <v>110</v>
      </c>
      <c r="D15" s="6" t="s">
        <v>111</v>
      </c>
      <c r="E15" s="6" t="s">
        <v>112</v>
      </c>
      <c r="F15" s="6" t="s">
        <v>95</v>
      </c>
      <c r="G15" s="6" t="s">
        <v>61</v>
      </c>
      <c r="H15" s="6" t="s">
        <v>81</v>
      </c>
      <c r="I15" s="8" t="s">
        <v>38</v>
      </c>
      <c r="J15" s="8" t="s">
        <v>38</v>
      </c>
      <c r="K15" s="8" t="s">
        <v>38</v>
      </c>
      <c r="L15" s="8" t="s">
        <v>39</v>
      </c>
      <c r="M15" s="8" t="s">
        <v>38</v>
      </c>
    </row>
    <row r="16" spans="1:13" x14ac:dyDescent="0.25">
      <c r="A16" s="6" t="s">
        <v>113</v>
      </c>
      <c r="B16" s="6" t="s">
        <v>76</v>
      </c>
      <c r="C16" s="6" t="s">
        <v>114</v>
      </c>
      <c r="D16" s="6" t="s">
        <v>115</v>
      </c>
      <c r="E16" s="6" t="s">
        <v>116</v>
      </c>
      <c r="F16" s="6" t="s">
        <v>35</v>
      </c>
      <c r="G16" s="6" t="s">
        <v>74</v>
      </c>
      <c r="H16" s="6" t="s">
        <v>81</v>
      </c>
      <c r="I16" s="8" t="s">
        <v>38</v>
      </c>
      <c r="J16" s="8" t="s">
        <v>38</v>
      </c>
      <c r="K16" s="8" t="s">
        <v>38</v>
      </c>
      <c r="L16" s="8" t="s">
        <v>39</v>
      </c>
      <c r="M16" s="8" t="s">
        <v>38</v>
      </c>
    </row>
    <row r="17" spans="1:13" x14ac:dyDescent="0.25">
      <c r="A17" s="6" t="s">
        <v>117</v>
      </c>
      <c r="B17" s="6" t="s">
        <v>76</v>
      </c>
      <c r="C17" s="6" t="s">
        <v>118</v>
      </c>
      <c r="D17" s="6" t="s">
        <v>119</v>
      </c>
      <c r="E17" s="6" t="s">
        <v>120</v>
      </c>
      <c r="F17" s="6" t="s">
        <v>80</v>
      </c>
      <c r="G17" s="6" t="s">
        <v>74</v>
      </c>
      <c r="H17" s="6" t="s">
        <v>81</v>
      </c>
      <c r="I17" s="8" t="s">
        <v>38</v>
      </c>
      <c r="J17" s="8" t="s">
        <v>38</v>
      </c>
      <c r="K17" s="8" t="s">
        <v>38</v>
      </c>
      <c r="L17" s="8" t="s">
        <v>39</v>
      </c>
      <c r="M17" s="8" t="s">
        <v>38</v>
      </c>
    </row>
    <row r="18" spans="1:13" x14ac:dyDescent="0.25">
      <c r="A18" s="6" t="s">
        <v>121</v>
      </c>
      <c r="B18" s="6" t="s">
        <v>122</v>
      </c>
      <c r="C18" s="6" t="s">
        <v>123</v>
      </c>
      <c r="D18" s="6" t="s">
        <v>124</v>
      </c>
      <c r="E18" s="6" t="s">
        <v>125</v>
      </c>
      <c r="F18" s="6" t="s">
        <v>67</v>
      </c>
      <c r="G18" s="7" t="s">
        <v>36</v>
      </c>
      <c r="H18" s="6" t="s">
        <v>44</v>
      </c>
      <c r="I18" s="8" t="s">
        <v>126</v>
      </c>
      <c r="J18" s="8" t="s">
        <v>46</v>
      </c>
      <c r="K18" s="8" t="s">
        <v>47</v>
      </c>
      <c r="L18" s="8" t="s">
        <v>127</v>
      </c>
      <c r="M18" s="8" t="s">
        <v>128</v>
      </c>
    </row>
    <row r="19" spans="1:13" x14ac:dyDescent="0.25">
      <c r="A19" s="6" t="s">
        <v>129</v>
      </c>
      <c r="B19" s="6" t="s">
        <v>122</v>
      </c>
      <c r="C19" s="6" t="s">
        <v>130</v>
      </c>
      <c r="D19" s="6" t="s">
        <v>131</v>
      </c>
      <c r="E19" s="6" t="s">
        <v>132</v>
      </c>
      <c r="F19" s="6" t="s">
        <v>67</v>
      </c>
      <c r="G19" s="6" t="s">
        <v>61</v>
      </c>
      <c r="H19" s="6" t="s">
        <v>133</v>
      </c>
      <c r="I19" s="8" t="s">
        <v>134</v>
      </c>
      <c r="J19" s="8" t="s">
        <v>46</v>
      </c>
      <c r="K19" s="8" t="s">
        <v>47</v>
      </c>
      <c r="L19" s="8" t="s">
        <v>48</v>
      </c>
      <c r="M19" s="8" t="s">
        <v>135</v>
      </c>
    </row>
    <row r="20" spans="1:13" x14ac:dyDescent="0.25">
      <c r="A20" s="6" t="s">
        <v>136</v>
      </c>
      <c r="B20" s="6" t="s">
        <v>122</v>
      </c>
      <c r="C20" s="6" t="s">
        <v>137</v>
      </c>
      <c r="D20" s="6" t="s">
        <v>138</v>
      </c>
      <c r="E20" s="6" t="s">
        <v>139</v>
      </c>
      <c r="F20" s="6" t="s">
        <v>67</v>
      </c>
      <c r="G20" s="6" t="s">
        <v>61</v>
      </c>
      <c r="H20" s="6" t="s">
        <v>140</v>
      </c>
      <c r="I20" s="8" t="s">
        <v>38</v>
      </c>
      <c r="J20" s="8" t="s">
        <v>38</v>
      </c>
      <c r="K20" s="8" t="s">
        <v>38</v>
      </c>
      <c r="L20" s="8" t="s">
        <v>39</v>
      </c>
      <c r="M20" s="8" t="s">
        <v>38</v>
      </c>
    </row>
    <row r="21" spans="1:13" x14ac:dyDescent="0.25">
      <c r="A21" s="6" t="s">
        <v>141</v>
      </c>
      <c r="B21" s="6" t="s">
        <v>122</v>
      </c>
      <c r="C21" s="6" t="s">
        <v>142</v>
      </c>
      <c r="D21" s="6" t="s">
        <v>143</v>
      </c>
      <c r="E21" s="6" t="s">
        <v>144</v>
      </c>
      <c r="F21" s="6" t="s">
        <v>67</v>
      </c>
      <c r="G21" s="6" t="s">
        <v>61</v>
      </c>
      <c r="H21" s="6" t="s">
        <v>44</v>
      </c>
      <c r="I21" s="8" t="s">
        <v>38</v>
      </c>
      <c r="J21" s="8" t="s">
        <v>38</v>
      </c>
      <c r="K21" s="8" t="s">
        <v>38</v>
      </c>
      <c r="L21" s="8" t="s">
        <v>39</v>
      </c>
      <c r="M21" s="8" t="s">
        <v>38</v>
      </c>
    </row>
    <row r="22" spans="1:13" x14ac:dyDescent="0.25">
      <c r="A22" s="6" t="s">
        <v>145</v>
      </c>
      <c r="B22" s="6" t="s">
        <v>122</v>
      </c>
      <c r="C22" s="6" t="s">
        <v>146</v>
      </c>
      <c r="D22" s="6" t="s">
        <v>147</v>
      </c>
      <c r="E22" s="6" t="s">
        <v>148</v>
      </c>
      <c r="F22" s="6" t="s">
        <v>149</v>
      </c>
      <c r="G22" s="7" t="s">
        <v>36</v>
      </c>
      <c r="H22" s="6" t="s">
        <v>150</v>
      </c>
      <c r="I22" s="8" t="s">
        <v>38</v>
      </c>
      <c r="J22" s="8" t="s">
        <v>38</v>
      </c>
      <c r="K22" s="8" t="s">
        <v>38</v>
      </c>
      <c r="L22" s="8" t="s">
        <v>127</v>
      </c>
      <c r="M22" s="8" t="s">
        <v>151</v>
      </c>
    </row>
    <row r="23" spans="1:13" x14ac:dyDescent="0.25">
      <c r="A23" s="6" t="s">
        <v>152</v>
      </c>
      <c r="B23" s="6" t="s">
        <v>122</v>
      </c>
      <c r="C23" s="6" t="s">
        <v>153</v>
      </c>
      <c r="D23" s="6" t="s">
        <v>154</v>
      </c>
      <c r="E23" s="6" t="s">
        <v>155</v>
      </c>
      <c r="F23" s="6" t="s">
        <v>35</v>
      </c>
      <c r="G23" s="7" t="s">
        <v>36</v>
      </c>
      <c r="H23" s="6" t="s">
        <v>150</v>
      </c>
      <c r="I23" s="8" t="s">
        <v>38</v>
      </c>
      <c r="J23" s="8" t="s">
        <v>38</v>
      </c>
      <c r="K23" s="8" t="s">
        <v>38</v>
      </c>
      <c r="L23" s="8" t="s">
        <v>39</v>
      </c>
      <c r="M23" s="8" t="s">
        <v>38</v>
      </c>
    </row>
    <row r="24" spans="1:13" x14ac:dyDescent="0.25">
      <c r="A24" s="6" t="s">
        <v>156</v>
      </c>
      <c r="B24" s="6" t="s">
        <v>122</v>
      </c>
      <c r="C24" s="6" t="s">
        <v>157</v>
      </c>
      <c r="D24" s="6" t="s">
        <v>158</v>
      </c>
      <c r="E24" s="6" t="s">
        <v>159</v>
      </c>
      <c r="F24" s="6" t="s">
        <v>67</v>
      </c>
      <c r="G24" s="6" t="s">
        <v>61</v>
      </c>
      <c r="H24" s="6" t="s">
        <v>133</v>
      </c>
      <c r="I24" s="8" t="s">
        <v>38</v>
      </c>
      <c r="J24" s="8" t="s">
        <v>38</v>
      </c>
      <c r="K24" s="8" t="s">
        <v>38</v>
      </c>
      <c r="L24" s="8" t="s">
        <v>39</v>
      </c>
      <c r="M24" s="8" t="s">
        <v>38</v>
      </c>
    </row>
    <row r="25" spans="1:13" x14ac:dyDescent="0.25">
      <c r="A25" s="6" t="s">
        <v>160</v>
      </c>
      <c r="B25" s="6" t="s">
        <v>122</v>
      </c>
      <c r="C25" s="6" t="s">
        <v>161</v>
      </c>
      <c r="D25" s="6" t="s">
        <v>162</v>
      </c>
      <c r="E25" s="6" t="s">
        <v>163</v>
      </c>
      <c r="F25" s="6" t="s">
        <v>149</v>
      </c>
      <c r="G25" s="6" t="s">
        <v>61</v>
      </c>
      <c r="H25" s="6" t="s">
        <v>133</v>
      </c>
      <c r="I25" s="8" t="s">
        <v>38</v>
      </c>
      <c r="J25" s="8" t="s">
        <v>38</v>
      </c>
      <c r="K25" s="8" t="s">
        <v>38</v>
      </c>
      <c r="L25" s="8" t="s">
        <v>39</v>
      </c>
      <c r="M25" s="8" t="s">
        <v>38</v>
      </c>
    </row>
    <row r="26" spans="1:13" x14ac:dyDescent="0.25">
      <c r="A26" s="6" t="s">
        <v>164</v>
      </c>
      <c r="B26" s="6" t="s">
        <v>122</v>
      </c>
      <c r="C26" s="6" t="s">
        <v>165</v>
      </c>
      <c r="D26" s="6" t="s">
        <v>166</v>
      </c>
      <c r="E26" s="6" t="s">
        <v>167</v>
      </c>
      <c r="F26" s="6" t="s">
        <v>67</v>
      </c>
      <c r="G26" s="6" t="s">
        <v>61</v>
      </c>
      <c r="H26" s="6" t="s">
        <v>168</v>
      </c>
      <c r="I26" s="8" t="s">
        <v>38</v>
      </c>
      <c r="J26" s="8" t="s">
        <v>38</v>
      </c>
      <c r="K26" s="8" t="s">
        <v>38</v>
      </c>
      <c r="L26" s="8" t="s">
        <v>39</v>
      </c>
      <c r="M26" s="8" t="s">
        <v>38</v>
      </c>
    </row>
    <row r="27" spans="1:13" x14ac:dyDescent="0.25">
      <c r="A27" s="6" t="s">
        <v>169</v>
      </c>
      <c r="B27" s="6" t="s">
        <v>170</v>
      </c>
      <c r="C27" s="6" t="s">
        <v>171</v>
      </c>
      <c r="D27" s="6" t="s">
        <v>172</v>
      </c>
      <c r="E27" s="6" t="s">
        <v>173</v>
      </c>
      <c r="F27" s="6" t="s">
        <v>174</v>
      </c>
      <c r="G27" s="7" t="s">
        <v>36</v>
      </c>
      <c r="H27" s="6" t="s">
        <v>44</v>
      </c>
      <c r="I27" s="8" t="s">
        <v>38</v>
      </c>
      <c r="J27" s="8" t="s">
        <v>38</v>
      </c>
      <c r="K27" s="8" t="s">
        <v>38</v>
      </c>
      <c r="L27" s="8" t="s">
        <v>127</v>
      </c>
      <c r="M27" s="8" t="s">
        <v>175</v>
      </c>
    </row>
    <row r="28" spans="1:13" x14ac:dyDescent="0.25">
      <c r="A28" s="6" t="s">
        <v>176</v>
      </c>
      <c r="B28" s="6" t="s">
        <v>170</v>
      </c>
      <c r="C28" s="6" t="s">
        <v>177</v>
      </c>
      <c r="D28" s="6" t="s">
        <v>178</v>
      </c>
      <c r="E28" s="6" t="s">
        <v>179</v>
      </c>
      <c r="F28" s="6" t="s">
        <v>174</v>
      </c>
      <c r="G28" s="7" t="s">
        <v>36</v>
      </c>
      <c r="H28" s="6" t="s">
        <v>44</v>
      </c>
      <c r="I28" s="8" t="s">
        <v>38</v>
      </c>
      <c r="J28" s="8" t="s">
        <v>38</v>
      </c>
      <c r="K28" s="8" t="s">
        <v>38</v>
      </c>
      <c r="L28" s="8" t="s">
        <v>39</v>
      </c>
      <c r="M28" s="8" t="s">
        <v>38</v>
      </c>
    </row>
    <row r="29" spans="1:13" x14ac:dyDescent="0.25">
      <c r="A29" s="6" t="s">
        <v>180</v>
      </c>
      <c r="B29" s="6" t="s">
        <v>170</v>
      </c>
      <c r="C29" s="6" t="s">
        <v>181</v>
      </c>
      <c r="D29" s="6" t="s">
        <v>182</v>
      </c>
      <c r="E29" s="6" t="s">
        <v>183</v>
      </c>
      <c r="F29" s="6" t="s">
        <v>174</v>
      </c>
      <c r="G29" s="7" t="s">
        <v>36</v>
      </c>
      <c r="H29" s="6" t="s">
        <v>44</v>
      </c>
      <c r="I29" s="8" t="s">
        <v>38</v>
      </c>
      <c r="J29" s="8" t="s">
        <v>38</v>
      </c>
      <c r="K29" s="8" t="s">
        <v>38</v>
      </c>
      <c r="L29" s="8" t="s">
        <v>39</v>
      </c>
      <c r="M29" s="8" t="s">
        <v>38</v>
      </c>
    </row>
    <row r="30" spans="1:13" x14ac:dyDescent="0.25">
      <c r="A30" s="6" t="s">
        <v>184</v>
      </c>
      <c r="B30" s="6" t="s">
        <v>170</v>
      </c>
      <c r="C30" s="6" t="s">
        <v>185</v>
      </c>
      <c r="D30" s="6" t="s">
        <v>186</v>
      </c>
      <c r="E30" s="6" t="s">
        <v>187</v>
      </c>
      <c r="F30" s="6" t="s">
        <v>174</v>
      </c>
      <c r="G30" s="7" t="s">
        <v>36</v>
      </c>
      <c r="H30" s="6" t="s">
        <v>62</v>
      </c>
      <c r="I30" s="8" t="s">
        <v>188</v>
      </c>
      <c r="J30" s="8" t="s">
        <v>46</v>
      </c>
      <c r="K30" s="8" t="s">
        <v>47</v>
      </c>
      <c r="L30" s="8" t="s">
        <v>48</v>
      </c>
      <c r="M30" s="8" t="s">
        <v>189</v>
      </c>
    </row>
    <row r="31" spans="1:13" x14ac:dyDescent="0.25">
      <c r="A31" s="6" t="s">
        <v>190</v>
      </c>
      <c r="B31" s="6" t="s">
        <v>170</v>
      </c>
      <c r="C31" s="6" t="s">
        <v>191</v>
      </c>
      <c r="D31" s="6" t="s">
        <v>192</v>
      </c>
      <c r="E31" s="6" t="s">
        <v>193</v>
      </c>
      <c r="F31" s="6" t="s">
        <v>35</v>
      </c>
      <c r="G31" s="6" t="s">
        <v>74</v>
      </c>
      <c r="H31" s="6" t="s">
        <v>62</v>
      </c>
      <c r="I31" s="8" t="s">
        <v>38</v>
      </c>
      <c r="J31" s="8" t="s">
        <v>38</v>
      </c>
      <c r="K31" s="8" t="s">
        <v>38</v>
      </c>
      <c r="L31" s="8" t="s">
        <v>39</v>
      </c>
      <c r="M31" s="8" t="s">
        <v>38</v>
      </c>
    </row>
    <row r="32" spans="1:13" x14ac:dyDescent="0.25">
      <c r="A32" s="6" t="s">
        <v>194</v>
      </c>
      <c r="B32" s="6" t="s">
        <v>170</v>
      </c>
      <c r="C32" s="6" t="s">
        <v>195</v>
      </c>
      <c r="D32" s="6" t="s">
        <v>196</v>
      </c>
      <c r="E32" s="6" t="s">
        <v>197</v>
      </c>
      <c r="F32" s="6" t="s">
        <v>174</v>
      </c>
      <c r="G32" s="7" t="s">
        <v>36</v>
      </c>
      <c r="H32" s="6" t="s">
        <v>62</v>
      </c>
      <c r="I32" s="8" t="s">
        <v>38</v>
      </c>
      <c r="J32" s="8" t="s">
        <v>38</v>
      </c>
      <c r="K32" s="8" t="s">
        <v>38</v>
      </c>
      <c r="L32" s="8" t="s">
        <v>39</v>
      </c>
      <c r="M32" s="8" t="s">
        <v>38</v>
      </c>
    </row>
    <row r="33" spans="1:13" x14ac:dyDescent="0.25">
      <c r="A33" s="6" t="s">
        <v>198</v>
      </c>
      <c r="B33" s="6" t="s">
        <v>170</v>
      </c>
      <c r="C33" s="6" t="s">
        <v>199</v>
      </c>
      <c r="D33" s="6" t="s">
        <v>200</v>
      </c>
      <c r="E33" s="6" t="s">
        <v>201</v>
      </c>
      <c r="F33" s="6" t="s">
        <v>174</v>
      </c>
      <c r="G33" s="7" t="s">
        <v>36</v>
      </c>
      <c r="H33" s="6" t="s">
        <v>62</v>
      </c>
      <c r="I33" s="8" t="s">
        <v>38</v>
      </c>
      <c r="J33" s="8" t="s">
        <v>38</v>
      </c>
      <c r="K33" s="8" t="s">
        <v>38</v>
      </c>
      <c r="L33" s="8" t="s">
        <v>39</v>
      </c>
      <c r="M33" s="8" t="s">
        <v>38</v>
      </c>
    </row>
    <row r="34" spans="1:13" x14ac:dyDescent="0.25">
      <c r="A34" s="6" t="s">
        <v>202</v>
      </c>
      <c r="B34" s="6" t="s">
        <v>170</v>
      </c>
      <c r="C34" s="6" t="s">
        <v>203</v>
      </c>
      <c r="D34" s="6" t="s">
        <v>204</v>
      </c>
      <c r="E34" s="6" t="s">
        <v>205</v>
      </c>
      <c r="F34" s="6" t="s">
        <v>174</v>
      </c>
      <c r="G34" s="7" t="s">
        <v>36</v>
      </c>
      <c r="H34" s="6" t="s">
        <v>62</v>
      </c>
      <c r="I34" s="8" t="s">
        <v>38</v>
      </c>
      <c r="J34" s="8" t="s">
        <v>38</v>
      </c>
      <c r="K34" s="8" t="s">
        <v>38</v>
      </c>
      <c r="L34" s="8" t="s">
        <v>127</v>
      </c>
      <c r="M34" s="8" t="s">
        <v>206</v>
      </c>
    </row>
    <row r="35" spans="1:13" x14ac:dyDescent="0.25">
      <c r="A35" s="6" t="s">
        <v>207</v>
      </c>
      <c r="B35" s="6" t="s">
        <v>170</v>
      </c>
      <c r="C35" s="6" t="s">
        <v>208</v>
      </c>
      <c r="D35" s="6" t="s">
        <v>209</v>
      </c>
      <c r="E35" s="6" t="s">
        <v>210</v>
      </c>
      <c r="F35" s="6" t="s">
        <v>174</v>
      </c>
      <c r="G35" s="7" t="s">
        <v>36</v>
      </c>
      <c r="H35" s="6" t="s">
        <v>62</v>
      </c>
      <c r="I35" s="8" t="s">
        <v>38</v>
      </c>
      <c r="J35" s="8" t="s">
        <v>38</v>
      </c>
      <c r="K35" s="8" t="s">
        <v>38</v>
      </c>
      <c r="L35" s="8" t="s">
        <v>127</v>
      </c>
      <c r="M35" s="8" t="s">
        <v>211</v>
      </c>
    </row>
    <row r="36" spans="1:13" x14ac:dyDescent="0.25">
      <c r="A36" s="6" t="s">
        <v>212</v>
      </c>
      <c r="B36" s="6" t="s">
        <v>170</v>
      </c>
      <c r="C36" s="6" t="s">
        <v>213</v>
      </c>
      <c r="D36" s="6" t="s">
        <v>214</v>
      </c>
      <c r="E36" s="6" t="s">
        <v>100</v>
      </c>
      <c r="F36" s="6" t="s">
        <v>174</v>
      </c>
      <c r="G36" s="6" t="s">
        <v>61</v>
      </c>
      <c r="H36" s="6" t="s">
        <v>62</v>
      </c>
      <c r="I36" s="8" t="s">
        <v>38</v>
      </c>
      <c r="J36" s="8" t="s">
        <v>38</v>
      </c>
      <c r="K36" s="8" t="s">
        <v>38</v>
      </c>
      <c r="L36" s="8" t="s">
        <v>39</v>
      </c>
      <c r="M36" s="8" t="s">
        <v>38</v>
      </c>
    </row>
    <row r="37" spans="1:13" x14ac:dyDescent="0.25">
      <c r="A37" s="6" t="s">
        <v>215</v>
      </c>
      <c r="B37" s="6" t="s">
        <v>170</v>
      </c>
      <c r="C37" s="6" t="s">
        <v>216</v>
      </c>
      <c r="D37" s="6" t="s">
        <v>217</v>
      </c>
      <c r="E37" s="6" t="s">
        <v>218</v>
      </c>
      <c r="F37" s="6" t="s">
        <v>174</v>
      </c>
      <c r="G37" s="7" t="s">
        <v>36</v>
      </c>
      <c r="H37" s="6" t="s">
        <v>62</v>
      </c>
      <c r="I37" s="8" t="s">
        <v>38</v>
      </c>
      <c r="J37" s="8" t="s">
        <v>38</v>
      </c>
      <c r="K37" s="8" t="s">
        <v>38</v>
      </c>
      <c r="L37" s="8" t="s">
        <v>219</v>
      </c>
      <c r="M37" s="8" t="s">
        <v>220</v>
      </c>
    </row>
    <row r="38" spans="1:13" x14ac:dyDescent="0.25">
      <c r="A38" s="6" t="s">
        <v>221</v>
      </c>
      <c r="B38" s="6" t="s">
        <v>170</v>
      </c>
      <c r="C38" s="6" t="s">
        <v>222</v>
      </c>
      <c r="D38" s="6" t="s">
        <v>223</v>
      </c>
      <c r="E38" s="6" t="s">
        <v>224</v>
      </c>
      <c r="F38" s="6" t="s">
        <v>67</v>
      </c>
      <c r="G38" s="6" t="s">
        <v>61</v>
      </c>
      <c r="H38" s="6" t="s">
        <v>62</v>
      </c>
      <c r="I38" s="8" t="s">
        <v>38</v>
      </c>
      <c r="J38" s="8" t="s">
        <v>38</v>
      </c>
      <c r="K38" s="8" t="s">
        <v>38</v>
      </c>
      <c r="L38" s="8" t="s">
        <v>39</v>
      </c>
      <c r="M38" s="8" t="s">
        <v>38</v>
      </c>
    </row>
    <row r="39" spans="1:13" x14ac:dyDescent="0.25">
      <c r="A39" s="6" t="s">
        <v>225</v>
      </c>
      <c r="B39" s="6" t="s">
        <v>170</v>
      </c>
      <c r="C39" s="6" t="s">
        <v>226</v>
      </c>
      <c r="D39" s="6" t="s">
        <v>227</v>
      </c>
      <c r="E39" s="6" t="s">
        <v>228</v>
      </c>
      <c r="F39" s="6" t="s">
        <v>67</v>
      </c>
      <c r="G39" s="6" t="s">
        <v>61</v>
      </c>
      <c r="H39" s="6" t="s">
        <v>62</v>
      </c>
      <c r="I39" s="8" t="s">
        <v>38</v>
      </c>
      <c r="J39" s="8" t="s">
        <v>38</v>
      </c>
      <c r="K39" s="8" t="s">
        <v>38</v>
      </c>
      <c r="L39" s="8" t="s">
        <v>39</v>
      </c>
      <c r="M39" s="8" t="s">
        <v>38</v>
      </c>
    </row>
    <row r="40" spans="1:13" x14ac:dyDescent="0.25">
      <c r="A40" s="6" t="s">
        <v>229</v>
      </c>
      <c r="B40" s="6" t="s">
        <v>170</v>
      </c>
      <c r="C40" s="6" t="s">
        <v>230</v>
      </c>
      <c r="D40" s="6" t="s">
        <v>231</v>
      </c>
      <c r="E40" s="6" t="s">
        <v>232</v>
      </c>
      <c r="F40" s="6" t="s">
        <v>174</v>
      </c>
      <c r="G40" s="6" t="s">
        <v>61</v>
      </c>
      <c r="H40" s="6" t="s">
        <v>62</v>
      </c>
      <c r="I40" s="8" t="s">
        <v>38</v>
      </c>
      <c r="J40" s="8" t="s">
        <v>38</v>
      </c>
      <c r="K40" s="8" t="s">
        <v>38</v>
      </c>
      <c r="L40" s="8" t="s">
        <v>39</v>
      </c>
      <c r="M40" s="8" t="s">
        <v>38</v>
      </c>
    </row>
    <row r="41" spans="1:13" x14ac:dyDescent="0.25">
      <c r="A41" s="6" t="s">
        <v>233</v>
      </c>
      <c r="B41" s="6" t="s">
        <v>170</v>
      </c>
      <c r="C41" s="6" t="s">
        <v>234</v>
      </c>
      <c r="D41" s="6" t="s">
        <v>235</v>
      </c>
      <c r="E41" s="6" t="s">
        <v>236</v>
      </c>
      <c r="F41" s="6" t="s">
        <v>174</v>
      </c>
      <c r="G41" s="6" t="s">
        <v>74</v>
      </c>
      <c r="H41" s="6" t="s">
        <v>62</v>
      </c>
      <c r="I41" s="8" t="s">
        <v>38</v>
      </c>
      <c r="J41" s="8" t="s">
        <v>38</v>
      </c>
      <c r="K41" s="8" t="s">
        <v>38</v>
      </c>
      <c r="L41" s="8" t="s">
        <v>127</v>
      </c>
      <c r="M41" s="8" t="s">
        <v>237</v>
      </c>
    </row>
    <row r="42" spans="1:13" x14ac:dyDescent="0.25">
      <c r="A42" s="6" t="s">
        <v>238</v>
      </c>
      <c r="B42" s="6" t="s">
        <v>170</v>
      </c>
      <c r="C42" s="6" t="s">
        <v>239</v>
      </c>
      <c r="D42" s="6" t="s">
        <v>240</v>
      </c>
      <c r="E42" s="6" t="s">
        <v>241</v>
      </c>
      <c r="F42" s="6" t="s">
        <v>174</v>
      </c>
      <c r="G42" s="6" t="s">
        <v>74</v>
      </c>
      <c r="H42" s="6" t="s">
        <v>62</v>
      </c>
      <c r="I42" s="8" t="s">
        <v>38</v>
      </c>
      <c r="J42" s="8" t="s">
        <v>38</v>
      </c>
      <c r="K42" s="8" t="s">
        <v>38</v>
      </c>
      <c r="L42" s="8" t="s">
        <v>39</v>
      </c>
      <c r="M42" s="8" t="s">
        <v>38</v>
      </c>
    </row>
    <row r="43" spans="1:13" x14ac:dyDescent="0.25">
      <c r="A43" s="6" t="s">
        <v>242</v>
      </c>
      <c r="B43" s="6" t="s">
        <v>243</v>
      </c>
      <c r="C43" s="6" t="s">
        <v>244</v>
      </c>
      <c r="D43" s="6" t="s">
        <v>245</v>
      </c>
      <c r="E43" s="6" t="s">
        <v>246</v>
      </c>
      <c r="F43" s="6" t="s">
        <v>67</v>
      </c>
      <c r="G43" s="7" t="s">
        <v>36</v>
      </c>
      <c r="H43" s="6" t="s">
        <v>247</v>
      </c>
      <c r="I43" s="8" t="s">
        <v>248</v>
      </c>
      <c r="J43" s="8" t="s">
        <v>46</v>
      </c>
      <c r="K43" s="8" t="s">
        <v>47</v>
      </c>
      <c r="L43" s="8" t="s">
        <v>55</v>
      </c>
      <c r="M43" s="8" t="s">
        <v>38</v>
      </c>
    </row>
    <row r="44" spans="1:13" x14ac:dyDescent="0.25">
      <c r="A44" s="6" t="s">
        <v>249</v>
      </c>
      <c r="B44" s="6" t="s">
        <v>243</v>
      </c>
      <c r="C44" s="6" t="s">
        <v>250</v>
      </c>
      <c r="D44" s="6" t="s">
        <v>251</v>
      </c>
      <c r="E44" s="6" t="s">
        <v>252</v>
      </c>
      <c r="F44" s="6" t="s">
        <v>174</v>
      </c>
      <c r="G44" s="6" t="s">
        <v>61</v>
      </c>
      <c r="H44" s="6" t="s">
        <v>247</v>
      </c>
      <c r="I44" s="8" t="s">
        <v>38</v>
      </c>
      <c r="J44" s="8" t="s">
        <v>38</v>
      </c>
      <c r="K44" s="8" t="s">
        <v>38</v>
      </c>
      <c r="L44" s="8" t="s">
        <v>39</v>
      </c>
      <c r="M44" s="8" t="s">
        <v>38</v>
      </c>
    </row>
    <row r="45" spans="1:13" x14ac:dyDescent="0.25">
      <c r="A45" s="6" t="s">
        <v>253</v>
      </c>
      <c r="B45" s="6" t="s">
        <v>243</v>
      </c>
      <c r="C45" s="6" t="s">
        <v>254</v>
      </c>
      <c r="D45" s="6" t="s">
        <v>255</v>
      </c>
      <c r="E45" s="6" t="s">
        <v>256</v>
      </c>
      <c r="F45" s="6" t="s">
        <v>60</v>
      </c>
      <c r="G45" s="6" t="s">
        <v>61</v>
      </c>
      <c r="H45" s="6" t="s">
        <v>247</v>
      </c>
      <c r="I45" s="8" t="s">
        <v>38</v>
      </c>
      <c r="J45" s="8" t="s">
        <v>38</v>
      </c>
      <c r="K45" s="8" t="s">
        <v>38</v>
      </c>
      <c r="L45" s="8" t="s">
        <v>39</v>
      </c>
      <c r="M45" s="8" t="s">
        <v>38</v>
      </c>
    </row>
    <row r="46" spans="1:13" x14ac:dyDescent="0.25">
      <c r="A46" s="6" t="s">
        <v>257</v>
      </c>
      <c r="B46" s="6" t="s">
        <v>243</v>
      </c>
      <c r="C46" s="6" t="s">
        <v>258</v>
      </c>
      <c r="D46" s="6" t="s">
        <v>259</v>
      </c>
      <c r="E46" s="6" t="s">
        <v>260</v>
      </c>
      <c r="F46" s="6" t="s">
        <v>60</v>
      </c>
      <c r="G46" s="6" t="s">
        <v>61</v>
      </c>
      <c r="H46" s="6" t="s">
        <v>247</v>
      </c>
      <c r="I46" s="8" t="s">
        <v>38</v>
      </c>
      <c r="J46" s="8" t="s">
        <v>38</v>
      </c>
      <c r="K46" s="8" t="s">
        <v>38</v>
      </c>
      <c r="L46" s="8" t="s">
        <v>39</v>
      </c>
      <c r="M46" s="8" t="s">
        <v>38</v>
      </c>
    </row>
    <row r="47" spans="1:13" x14ac:dyDescent="0.25">
      <c r="A47" s="6" t="s">
        <v>261</v>
      </c>
      <c r="B47" s="6" t="s">
        <v>243</v>
      </c>
      <c r="C47" s="6" t="s">
        <v>262</v>
      </c>
      <c r="D47" s="6" t="s">
        <v>263</v>
      </c>
      <c r="E47" s="6" t="s">
        <v>264</v>
      </c>
      <c r="F47" s="6" t="s">
        <v>67</v>
      </c>
      <c r="G47" s="6" t="s">
        <v>61</v>
      </c>
      <c r="H47" s="6" t="s">
        <v>247</v>
      </c>
      <c r="I47" s="8" t="s">
        <v>38</v>
      </c>
      <c r="J47" s="8" t="s">
        <v>38</v>
      </c>
      <c r="K47" s="8" t="s">
        <v>38</v>
      </c>
      <c r="L47" s="8" t="s">
        <v>39</v>
      </c>
      <c r="M47" s="8" t="s">
        <v>38</v>
      </c>
    </row>
    <row r="48" spans="1:13" x14ac:dyDescent="0.25">
      <c r="A48" s="6" t="s">
        <v>265</v>
      </c>
      <c r="B48" s="6" t="s">
        <v>243</v>
      </c>
      <c r="C48" s="6" t="s">
        <v>266</v>
      </c>
      <c r="D48" s="6" t="s">
        <v>267</v>
      </c>
      <c r="E48" s="6" t="s">
        <v>268</v>
      </c>
      <c r="F48" s="6" t="s">
        <v>60</v>
      </c>
      <c r="G48" s="6" t="s">
        <v>74</v>
      </c>
      <c r="H48" s="6" t="s">
        <v>247</v>
      </c>
      <c r="I48" s="8" t="s">
        <v>38</v>
      </c>
      <c r="J48" s="8" t="s">
        <v>38</v>
      </c>
      <c r="K48" s="8" t="s">
        <v>38</v>
      </c>
      <c r="L48" s="8" t="s">
        <v>39</v>
      </c>
      <c r="M48" s="8" t="s">
        <v>38</v>
      </c>
    </row>
    <row r="49" spans="1:13" x14ac:dyDescent="0.25">
      <c r="A49" s="6" t="s">
        <v>269</v>
      </c>
      <c r="B49" s="6" t="s">
        <v>270</v>
      </c>
      <c r="C49" s="6" t="s">
        <v>271</v>
      </c>
      <c r="D49" s="6" t="s">
        <v>272</v>
      </c>
      <c r="E49" s="6" t="s">
        <v>273</v>
      </c>
      <c r="F49" s="6" t="s">
        <v>60</v>
      </c>
      <c r="G49" s="7" t="s">
        <v>36</v>
      </c>
      <c r="H49" s="6" t="s">
        <v>44</v>
      </c>
      <c r="I49" s="8" t="s">
        <v>38</v>
      </c>
      <c r="J49" s="8" t="s">
        <v>38</v>
      </c>
      <c r="K49" s="8" t="s">
        <v>38</v>
      </c>
      <c r="L49" s="8" t="s">
        <v>39</v>
      </c>
      <c r="M49" s="8" t="s">
        <v>38</v>
      </c>
    </row>
    <row r="50" spans="1:13" x14ac:dyDescent="0.25">
      <c r="A50" s="6" t="s">
        <v>274</v>
      </c>
      <c r="B50" s="6" t="s">
        <v>270</v>
      </c>
      <c r="C50" s="6" t="s">
        <v>275</v>
      </c>
      <c r="D50" s="6" t="s">
        <v>276</v>
      </c>
      <c r="E50" s="6" t="s">
        <v>277</v>
      </c>
      <c r="F50" s="6" t="s">
        <v>60</v>
      </c>
      <c r="G50" s="7" t="s">
        <v>36</v>
      </c>
      <c r="H50" s="6" t="s">
        <v>44</v>
      </c>
      <c r="I50" s="8" t="s">
        <v>38</v>
      </c>
      <c r="J50" s="8" t="s">
        <v>38</v>
      </c>
      <c r="K50" s="8" t="s">
        <v>38</v>
      </c>
      <c r="L50" s="8" t="s">
        <v>127</v>
      </c>
      <c r="M50" s="8" t="s">
        <v>278</v>
      </c>
    </row>
    <row r="51" spans="1:13" x14ac:dyDescent="0.25">
      <c r="A51" s="6" t="s">
        <v>279</v>
      </c>
      <c r="B51" s="6" t="s">
        <v>270</v>
      </c>
      <c r="C51" s="6" t="s">
        <v>280</v>
      </c>
      <c r="D51" s="6" t="s">
        <v>281</v>
      </c>
      <c r="E51" s="6" t="s">
        <v>282</v>
      </c>
      <c r="F51" s="6" t="s">
        <v>60</v>
      </c>
      <c r="G51" s="7" t="s">
        <v>36</v>
      </c>
      <c r="H51" s="6" t="s">
        <v>44</v>
      </c>
      <c r="I51" s="8" t="s">
        <v>38</v>
      </c>
      <c r="J51" s="8" t="s">
        <v>38</v>
      </c>
      <c r="K51" s="8" t="s">
        <v>38</v>
      </c>
      <c r="L51" s="8" t="s">
        <v>127</v>
      </c>
      <c r="M51" s="8" t="s">
        <v>283</v>
      </c>
    </row>
    <row r="52" spans="1:13" x14ac:dyDescent="0.25">
      <c r="A52" s="6" t="s">
        <v>284</v>
      </c>
      <c r="B52" s="6" t="s">
        <v>270</v>
      </c>
      <c r="C52" s="6" t="s">
        <v>285</v>
      </c>
      <c r="D52" s="6" t="s">
        <v>286</v>
      </c>
      <c r="E52" s="6" t="s">
        <v>287</v>
      </c>
      <c r="F52" s="6" t="s">
        <v>67</v>
      </c>
      <c r="G52" s="7" t="s">
        <v>36</v>
      </c>
      <c r="H52" s="6" t="s">
        <v>247</v>
      </c>
      <c r="I52" s="8" t="s">
        <v>38</v>
      </c>
      <c r="J52" s="8" t="s">
        <v>38</v>
      </c>
      <c r="K52" s="8" t="s">
        <v>38</v>
      </c>
      <c r="L52" s="8" t="s">
        <v>39</v>
      </c>
      <c r="M52" s="8" t="s">
        <v>38</v>
      </c>
    </row>
    <row r="53" spans="1:13" x14ac:dyDescent="0.25">
      <c r="A53" s="6" t="s">
        <v>288</v>
      </c>
      <c r="B53" s="6" t="s">
        <v>270</v>
      </c>
      <c r="C53" s="6" t="s">
        <v>289</v>
      </c>
      <c r="D53" s="6" t="s">
        <v>290</v>
      </c>
      <c r="E53" s="6" t="s">
        <v>291</v>
      </c>
      <c r="F53" s="6" t="s">
        <v>67</v>
      </c>
      <c r="G53" s="7" t="s">
        <v>36</v>
      </c>
      <c r="H53" s="6" t="s">
        <v>247</v>
      </c>
      <c r="I53" s="8" t="s">
        <v>38</v>
      </c>
      <c r="J53" s="8" t="s">
        <v>38</v>
      </c>
      <c r="K53" s="8" t="s">
        <v>38</v>
      </c>
      <c r="L53" s="8" t="s">
        <v>127</v>
      </c>
      <c r="M53" s="8" t="s">
        <v>292</v>
      </c>
    </row>
    <row r="54" spans="1:13" x14ac:dyDescent="0.25">
      <c r="A54" s="6" t="s">
        <v>293</v>
      </c>
      <c r="B54" s="6" t="s">
        <v>270</v>
      </c>
      <c r="C54" s="6" t="s">
        <v>294</v>
      </c>
      <c r="D54" s="6" t="s">
        <v>295</v>
      </c>
      <c r="E54" s="6" t="s">
        <v>296</v>
      </c>
      <c r="F54" s="6" t="s">
        <v>67</v>
      </c>
      <c r="G54" s="6" t="s">
        <v>61</v>
      </c>
      <c r="H54" s="6" t="s">
        <v>168</v>
      </c>
      <c r="I54" s="8" t="s">
        <v>38</v>
      </c>
      <c r="J54" s="8" t="s">
        <v>38</v>
      </c>
      <c r="K54" s="8" t="s">
        <v>38</v>
      </c>
      <c r="L54" s="8" t="s">
        <v>39</v>
      </c>
      <c r="M54" s="8" t="s">
        <v>38</v>
      </c>
    </row>
    <row r="55" spans="1:13" x14ac:dyDescent="0.25">
      <c r="A55" s="6" t="s">
        <v>297</v>
      </c>
      <c r="B55" s="6" t="s">
        <v>270</v>
      </c>
      <c r="C55" s="6" t="s">
        <v>298</v>
      </c>
      <c r="D55" s="6" t="s">
        <v>299</v>
      </c>
      <c r="E55" s="6" t="s">
        <v>300</v>
      </c>
      <c r="F55" s="6" t="s">
        <v>67</v>
      </c>
      <c r="G55" s="6" t="s">
        <v>61</v>
      </c>
      <c r="H55" s="6" t="s">
        <v>168</v>
      </c>
      <c r="I55" s="8" t="s">
        <v>38</v>
      </c>
      <c r="J55" s="8" t="s">
        <v>38</v>
      </c>
      <c r="K55" s="8" t="s">
        <v>38</v>
      </c>
      <c r="L55" s="8" t="s">
        <v>39</v>
      </c>
      <c r="M55" s="8" t="s">
        <v>38</v>
      </c>
    </row>
    <row r="56" spans="1:13" x14ac:dyDescent="0.25">
      <c r="A56" s="6" t="s">
        <v>301</v>
      </c>
      <c r="B56" s="6" t="s">
        <v>270</v>
      </c>
      <c r="C56" s="6" t="s">
        <v>302</v>
      </c>
      <c r="D56" s="6" t="s">
        <v>303</v>
      </c>
      <c r="E56" s="6" t="s">
        <v>304</v>
      </c>
      <c r="F56" s="6" t="s">
        <v>67</v>
      </c>
      <c r="G56" s="6" t="s">
        <v>61</v>
      </c>
      <c r="H56" s="6" t="s">
        <v>168</v>
      </c>
      <c r="I56" s="8" t="s">
        <v>38</v>
      </c>
      <c r="J56" s="8" t="s">
        <v>38</v>
      </c>
      <c r="K56" s="8" t="s">
        <v>38</v>
      </c>
      <c r="L56" s="8" t="s">
        <v>39</v>
      </c>
      <c r="M56" s="8" t="s">
        <v>38</v>
      </c>
    </row>
    <row r="57" spans="1:13" x14ac:dyDescent="0.25">
      <c r="A57" s="6" t="s">
        <v>305</v>
      </c>
      <c r="B57" s="6" t="s">
        <v>270</v>
      </c>
      <c r="C57" s="6" t="s">
        <v>306</v>
      </c>
      <c r="D57" s="6" t="s">
        <v>307</v>
      </c>
      <c r="E57" s="6" t="s">
        <v>308</v>
      </c>
      <c r="F57" s="6" t="s">
        <v>67</v>
      </c>
      <c r="G57" s="7" t="s">
        <v>36</v>
      </c>
      <c r="H57" s="6" t="s">
        <v>62</v>
      </c>
      <c r="I57" s="8" t="s">
        <v>309</v>
      </c>
      <c r="J57" s="8" t="s">
        <v>46</v>
      </c>
      <c r="K57" s="8" t="s">
        <v>47</v>
      </c>
      <c r="L57" s="8" t="s">
        <v>48</v>
      </c>
      <c r="M57" s="8" t="s">
        <v>310</v>
      </c>
    </row>
    <row r="58" spans="1:13" x14ac:dyDescent="0.25">
      <c r="A58" s="6" t="s">
        <v>311</v>
      </c>
      <c r="B58" s="6" t="s">
        <v>270</v>
      </c>
      <c r="C58" s="6" t="s">
        <v>312</v>
      </c>
      <c r="D58" s="6" t="s">
        <v>313</v>
      </c>
      <c r="E58" s="6" t="s">
        <v>314</v>
      </c>
      <c r="F58" s="6" t="s">
        <v>67</v>
      </c>
      <c r="G58" s="6" t="s">
        <v>61</v>
      </c>
      <c r="H58" s="6" t="s">
        <v>133</v>
      </c>
      <c r="I58" s="8" t="s">
        <v>38</v>
      </c>
      <c r="J58" s="8" t="s">
        <v>38</v>
      </c>
      <c r="K58" s="8" t="s">
        <v>38</v>
      </c>
      <c r="L58" s="8" t="s">
        <v>39</v>
      </c>
      <c r="M58" s="8" t="s">
        <v>38</v>
      </c>
    </row>
    <row r="59" spans="1:13" x14ac:dyDescent="0.25">
      <c r="A59" s="6" t="s">
        <v>315</v>
      </c>
      <c r="B59" s="6" t="s">
        <v>270</v>
      </c>
      <c r="C59" s="6" t="s">
        <v>316</v>
      </c>
      <c r="D59" s="6" t="s">
        <v>317</v>
      </c>
      <c r="E59" s="6" t="s">
        <v>318</v>
      </c>
      <c r="F59" s="6" t="s">
        <v>60</v>
      </c>
      <c r="G59" s="6" t="s">
        <v>61</v>
      </c>
      <c r="H59" s="6" t="s">
        <v>168</v>
      </c>
      <c r="I59" s="8" t="s">
        <v>38</v>
      </c>
      <c r="J59" s="8" t="s">
        <v>38</v>
      </c>
      <c r="K59" s="8" t="s">
        <v>38</v>
      </c>
      <c r="L59" s="8" t="s">
        <v>39</v>
      </c>
      <c r="M59" s="8" t="s">
        <v>38</v>
      </c>
    </row>
    <row r="60" spans="1:13" x14ac:dyDescent="0.25">
      <c r="A60" s="6" t="s">
        <v>319</v>
      </c>
      <c r="B60" s="6" t="s">
        <v>270</v>
      </c>
      <c r="C60" s="6" t="s">
        <v>320</v>
      </c>
      <c r="D60" s="6" t="s">
        <v>321</v>
      </c>
      <c r="E60" s="6" t="s">
        <v>322</v>
      </c>
      <c r="F60" s="6" t="s">
        <v>323</v>
      </c>
      <c r="G60" s="6" t="s">
        <v>61</v>
      </c>
      <c r="H60" s="6" t="s">
        <v>168</v>
      </c>
      <c r="I60" s="8" t="s">
        <v>38</v>
      </c>
      <c r="J60" s="8" t="s">
        <v>38</v>
      </c>
      <c r="K60" s="8" t="s">
        <v>38</v>
      </c>
      <c r="L60" s="8" t="s">
        <v>39</v>
      </c>
      <c r="M60" s="8" t="s">
        <v>38</v>
      </c>
    </row>
    <row r="61" spans="1:13" x14ac:dyDescent="0.25">
      <c r="A61" s="6" t="s">
        <v>324</v>
      </c>
      <c r="B61" s="6" t="s">
        <v>270</v>
      </c>
      <c r="C61" s="6" t="s">
        <v>325</v>
      </c>
      <c r="D61" s="6" t="s">
        <v>326</v>
      </c>
      <c r="E61" s="6" t="s">
        <v>327</v>
      </c>
      <c r="F61" s="6" t="s">
        <v>60</v>
      </c>
      <c r="G61" s="6" t="s">
        <v>74</v>
      </c>
      <c r="H61" s="6" t="s">
        <v>168</v>
      </c>
      <c r="I61" s="8" t="s">
        <v>38</v>
      </c>
      <c r="J61" s="8" t="s">
        <v>38</v>
      </c>
      <c r="K61" s="8" t="s">
        <v>38</v>
      </c>
      <c r="L61" s="8" t="s">
        <v>39</v>
      </c>
      <c r="M61" s="8" t="s">
        <v>38</v>
      </c>
    </row>
    <row r="62" spans="1:13" x14ac:dyDescent="0.25">
      <c r="A62" s="6" t="s">
        <v>328</v>
      </c>
      <c r="B62" s="6" t="s">
        <v>270</v>
      </c>
      <c r="C62" s="6" t="s">
        <v>329</v>
      </c>
      <c r="D62" s="6" t="s">
        <v>330</v>
      </c>
      <c r="E62" s="6" t="s">
        <v>331</v>
      </c>
      <c r="F62" s="6" t="s">
        <v>35</v>
      </c>
      <c r="G62" s="6" t="s">
        <v>61</v>
      </c>
      <c r="H62" s="6" t="s">
        <v>168</v>
      </c>
      <c r="I62" s="8" t="s">
        <v>38</v>
      </c>
      <c r="J62" s="8" t="s">
        <v>38</v>
      </c>
      <c r="K62" s="8" t="s">
        <v>38</v>
      </c>
      <c r="L62" s="8" t="s">
        <v>39</v>
      </c>
      <c r="M62" s="8" t="s">
        <v>38</v>
      </c>
    </row>
    <row r="63" spans="1:13" x14ac:dyDescent="0.25">
      <c r="A63" s="6" t="s">
        <v>332</v>
      </c>
      <c r="B63" s="6" t="s">
        <v>270</v>
      </c>
      <c r="C63" s="6" t="s">
        <v>333</v>
      </c>
      <c r="D63" s="6" t="s">
        <v>334</v>
      </c>
      <c r="E63" s="6" t="s">
        <v>335</v>
      </c>
      <c r="F63" s="6" t="s">
        <v>60</v>
      </c>
      <c r="G63" s="6" t="s">
        <v>74</v>
      </c>
      <c r="H63" s="6" t="s">
        <v>140</v>
      </c>
      <c r="I63" s="8" t="s">
        <v>38</v>
      </c>
      <c r="J63" s="8" t="s">
        <v>38</v>
      </c>
      <c r="K63" s="8" t="s">
        <v>38</v>
      </c>
      <c r="L63" s="8" t="s">
        <v>39</v>
      </c>
      <c r="M63" s="8" t="s">
        <v>38</v>
      </c>
    </row>
    <row r="64" spans="1:13" x14ac:dyDescent="0.25">
      <c r="A64" s="6" t="s">
        <v>336</v>
      </c>
      <c r="B64" s="6" t="s">
        <v>337</v>
      </c>
      <c r="C64" s="6" t="s">
        <v>338</v>
      </c>
      <c r="D64" s="6" t="s">
        <v>339</v>
      </c>
      <c r="E64" s="6" t="s">
        <v>340</v>
      </c>
      <c r="F64" s="6" t="s">
        <v>67</v>
      </c>
      <c r="G64" s="7" t="s">
        <v>36</v>
      </c>
      <c r="H64" s="6" t="s">
        <v>140</v>
      </c>
      <c r="I64" s="8" t="s">
        <v>134</v>
      </c>
      <c r="J64" s="8" t="s">
        <v>46</v>
      </c>
      <c r="K64" s="8" t="s">
        <v>47</v>
      </c>
      <c r="L64" s="8" t="s">
        <v>48</v>
      </c>
      <c r="M64" s="8" t="s">
        <v>341</v>
      </c>
    </row>
    <row r="65" spans="1:13" x14ac:dyDescent="0.25">
      <c r="A65" s="6" t="s">
        <v>342</v>
      </c>
      <c r="B65" s="6" t="s">
        <v>337</v>
      </c>
      <c r="C65" s="6" t="s">
        <v>343</v>
      </c>
      <c r="D65" s="6" t="s">
        <v>344</v>
      </c>
      <c r="E65" s="6" t="s">
        <v>345</v>
      </c>
      <c r="F65" s="6" t="s">
        <v>67</v>
      </c>
      <c r="G65" s="6" t="s">
        <v>61</v>
      </c>
      <c r="H65" s="6" t="s">
        <v>140</v>
      </c>
      <c r="I65" s="8" t="s">
        <v>38</v>
      </c>
      <c r="J65" s="8" t="s">
        <v>38</v>
      </c>
      <c r="K65" s="8" t="s">
        <v>38</v>
      </c>
      <c r="L65" s="8" t="s">
        <v>39</v>
      </c>
      <c r="M65" s="8" t="s">
        <v>38</v>
      </c>
    </row>
    <row r="66" spans="1:13" x14ac:dyDescent="0.25">
      <c r="A66" s="6" t="s">
        <v>346</v>
      </c>
      <c r="B66" s="6" t="s">
        <v>337</v>
      </c>
      <c r="C66" s="6" t="s">
        <v>347</v>
      </c>
      <c r="D66" s="6" t="s">
        <v>348</v>
      </c>
      <c r="E66" s="6" t="s">
        <v>349</v>
      </c>
      <c r="F66" s="6" t="s">
        <v>67</v>
      </c>
      <c r="G66" s="6" t="s">
        <v>61</v>
      </c>
      <c r="H66" s="6" t="s">
        <v>140</v>
      </c>
      <c r="I66" s="8" t="s">
        <v>38</v>
      </c>
      <c r="J66" s="8" t="s">
        <v>38</v>
      </c>
      <c r="K66" s="8" t="s">
        <v>38</v>
      </c>
      <c r="L66" s="8" t="s">
        <v>39</v>
      </c>
      <c r="M66" s="8" t="s">
        <v>38</v>
      </c>
    </row>
    <row r="67" spans="1:13" x14ac:dyDescent="0.25">
      <c r="A67" s="6" t="s">
        <v>350</v>
      </c>
      <c r="B67" s="6" t="s">
        <v>337</v>
      </c>
      <c r="C67" s="6" t="s">
        <v>351</v>
      </c>
      <c r="D67" s="6" t="s">
        <v>352</v>
      </c>
      <c r="E67" s="6" t="s">
        <v>353</v>
      </c>
      <c r="F67" s="6" t="s">
        <v>67</v>
      </c>
      <c r="G67" s="6" t="s">
        <v>61</v>
      </c>
      <c r="H67" s="6" t="s">
        <v>140</v>
      </c>
      <c r="I67" s="8" t="s">
        <v>38</v>
      </c>
      <c r="J67" s="8" t="s">
        <v>38</v>
      </c>
      <c r="K67" s="8" t="s">
        <v>38</v>
      </c>
      <c r="L67" s="8" t="s">
        <v>39</v>
      </c>
      <c r="M67" s="8" t="s">
        <v>38</v>
      </c>
    </row>
    <row r="68" spans="1:13" x14ac:dyDescent="0.25">
      <c r="A68" s="6" t="s">
        <v>354</v>
      </c>
      <c r="B68" s="6" t="s">
        <v>337</v>
      </c>
      <c r="C68" s="6" t="s">
        <v>355</v>
      </c>
      <c r="D68" s="6" t="s">
        <v>356</v>
      </c>
      <c r="E68" s="6" t="s">
        <v>100</v>
      </c>
      <c r="F68" s="6" t="s">
        <v>67</v>
      </c>
      <c r="G68" s="6" t="s">
        <v>74</v>
      </c>
      <c r="H68" s="6" t="s">
        <v>140</v>
      </c>
      <c r="I68" s="8" t="s">
        <v>38</v>
      </c>
      <c r="J68" s="8" t="s">
        <v>38</v>
      </c>
      <c r="K68" s="8" t="s">
        <v>38</v>
      </c>
      <c r="L68" s="8" t="s">
        <v>39</v>
      </c>
      <c r="M68" s="8" t="s">
        <v>38</v>
      </c>
    </row>
    <row r="69" spans="1:13" x14ac:dyDescent="0.25">
      <c r="A69" s="6" t="s">
        <v>357</v>
      </c>
      <c r="B69" s="6" t="s">
        <v>337</v>
      </c>
      <c r="C69" s="6" t="s">
        <v>358</v>
      </c>
      <c r="D69" s="6" t="s">
        <v>359</v>
      </c>
      <c r="E69" s="6" t="s">
        <v>360</v>
      </c>
      <c r="F69" s="6" t="s">
        <v>60</v>
      </c>
      <c r="G69" s="6" t="s">
        <v>61</v>
      </c>
      <c r="H69" s="6" t="s">
        <v>140</v>
      </c>
      <c r="I69" s="8" t="s">
        <v>38</v>
      </c>
      <c r="J69" s="8" t="s">
        <v>38</v>
      </c>
      <c r="K69" s="8" t="s">
        <v>38</v>
      </c>
      <c r="L69" s="8" t="s">
        <v>39</v>
      </c>
      <c r="M69" s="8" t="s">
        <v>38</v>
      </c>
    </row>
    <row r="70" spans="1:13" x14ac:dyDescent="0.25">
      <c r="A70" s="6" t="s">
        <v>361</v>
      </c>
      <c r="B70" s="6" t="s">
        <v>362</v>
      </c>
      <c r="C70" s="6" t="s">
        <v>363</v>
      </c>
      <c r="D70" s="6" t="s">
        <v>364</v>
      </c>
      <c r="E70" s="6" t="s">
        <v>365</v>
      </c>
      <c r="F70" s="6" t="s">
        <v>67</v>
      </c>
      <c r="G70" s="7" t="s">
        <v>36</v>
      </c>
      <c r="H70" s="6" t="s">
        <v>133</v>
      </c>
      <c r="I70" s="8" t="s">
        <v>366</v>
      </c>
      <c r="J70" s="8" t="s">
        <v>46</v>
      </c>
      <c r="K70" s="8" t="s">
        <v>47</v>
      </c>
      <c r="L70" s="8" t="s">
        <v>55</v>
      </c>
      <c r="M70" s="8" t="s">
        <v>38</v>
      </c>
    </row>
    <row r="71" spans="1:13" x14ac:dyDescent="0.25">
      <c r="A71" s="6" t="s">
        <v>367</v>
      </c>
      <c r="B71" s="6" t="s">
        <v>362</v>
      </c>
      <c r="C71" s="6" t="s">
        <v>368</v>
      </c>
      <c r="D71" s="6" t="s">
        <v>369</v>
      </c>
      <c r="E71" s="6" t="s">
        <v>370</v>
      </c>
      <c r="F71" s="6" t="s">
        <v>67</v>
      </c>
      <c r="G71" s="7" t="s">
        <v>36</v>
      </c>
      <c r="H71" s="6" t="s">
        <v>133</v>
      </c>
      <c r="I71" s="8" t="s">
        <v>38</v>
      </c>
      <c r="J71" s="8" t="s">
        <v>38</v>
      </c>
      <c r="K71" s="8" t="s">
        <v>38</v>
      </c>
      <c r="L71" s="8" t="s">
        <v>39</v>
      </c>
      <c r="M71" s="8" t="s">
        <v>38</v>
      </c>
    </row>
    <row r="72" spans="1:13" x14ac:dyDescent="0.25">
      <c r="A72" s="6" t="s">
        <v>371</v>
      </c>
      <c r="B72" s="6" t="s">
        <v>362</v>
      </c>
      <c r="C72" s="6" t="s">
        <v>372</v>
      </c>
      <c r="D72" s="6" t="s">
        <v>373</v>
      </c>
      <c r="E72" s="6" t="s">
        <v>374</v>
      </c>
      <c r="F72" s="6" t="s">
        <v>150</v>
      </c>
      <c r="G72" s="6" t="s">
        <v>61</v>
      </c>
      <c r="H72" s="6" t="s">
        <v>133</v>
      </c>
      <c r="I72" s="8" t="s">
        <v>38</v>
      </c>
      <c r="J72" s="8" t="s">
        <v>38</v>
      </c>
      <c r="K72" s="8" t="s">
        <v>38</v>
      </c>
      <c r="L72" s="8" t="s">
        <v>127</v>
      </c>
      <c r="M72" s="8" t="s">
        <v>375</v>
      </c>
    </row>
    <row r="73" spans="1:13" x14ac:dyDescent="0.25">
      <c r="A73" s="6" t="s">
        <v>376</v>
      </c>
      <c r="B73" s="6" t="s">
        <v>362</v>
      </c>
      <c r="C73" s="6" t="s">
        <v>377</v>
      </c>
      <c r="D73" s="6" t="s">
        <v>378</v>
      </c>
      <c r="E73" s="6" t="s">
        <v>379</v>
      </c>
      <c r="F73" s="6" t="s">
        <v>60</v>
      </c>
      <c r="G73" s="6" t="s">
        <v>61</v>
      </c>
      <c r="H73" s="6" t="s">
        <v>133</v>
      </c>
      <c r="I73" s="8" t="s">
        <v>38</v>
      </c>
      <c r="J73" s="8" t="s">
        <v>38</v>
      </c>
      <c r="K73" s="8" t="s">
        <v>38</v>
      </c>
      <c r="L73" s="8" t="s">
        <v>39</v>
      </c>
      <c r="M73" s="8" t="s">
        <v>38</v>
      </c>
    </row>
    <row r="74" spans="1:13" x14ac:dyDescent="0.25">
      <c r="A74" s="6" t="s">
        <v>380</v>
      </c>
      <c r="B74" s="6" t="s">
        <v>362</v>
      </c>
      <c r="C74" s="6" t="s">
        <v>381</v>
      </c>
      <c r="D74" s="6" t="s">
        <v>382</v>
      </c>
      <c r="E74" s="6" t="s">
        <v>383</v>
      </c>
      <c r="F74" s="6" t="s">
        <v>150</v>
      </c>
      <c r="G74" s="6" t="s">
        <v>61</v>
      </c>
      <c r="H74" s="6" t="s">
        <v>133</v>
      </c>
      <c r="I74" s="8" t="s">
        <v>38</v>
      </c>
      <c r="J74" s="8" t="s">
        <v>38</v>
      </c>
      <c r="K74" s="8" t="s">
        <v>38</v>
      </c>
      <c r="L74" s="8" t="s">
        <v>39</v>
      </c>
      <c r="M74" s="8" t="s">
        <v>38</v>
      </c>
    </row>
    <row r="75" spans="1:13" x14ac:dyDescent="0.25">
      <c r="A75" s="6" t="s">
        <v>384</v>
      </c>
      <c r="B75" s="6" t="s">
        <v>362</v>
      </c>
      <c r="C75" s="6" t="s">
        <v>385</v>
      </c>
      <c r="D75" s="6" t="s">
        <v>386</v>
      </c>
      <c r="E75" s="6" t="s">
        <v>100</v>
      </c>
      <c r="F75" s="6" t="s">
        <v>150</v>
      </c>
      <c r="G75" s="6" t="s">
        <v>61</v>
      </c>
      <c r="H75" s="6" t="s">
        <v>133</v>
      </c>
      <c r="I75" s="8" t="s">
        <v>38</v>
      </c>
      <c r="J75" s="8" t="s">
        <v>38</v>
      </c>
      <c r="K75" s="8" t="s">
        <v>38</v>
      </c>
      <c r="L75" s="8" t="s">
        <v>39</v>
      </c>
      <c r="M75" s="8" t="s">
        <v>38</v>
      </c>
    </row>
    <row r="76" spans="1:13" x14ac:dyDescent="0.25">
      <c r="A76" s="6" t="s">
        <v>387</v>
      </c>
      <c r="B76" s="6" t="s">
        <v>362</v>
      </c>
      <c r="C76" s="6" t="s">
        <v>388</v>
      </c>
      <c r="D76" s="6" t="s">
        <v>389</v>
      </c>
      <c r="E76" s="6" t="s">
        <v>390</v>
      </c>
      <c r="F76" s="6" t="s">
        <v>150</v>
      </c>
      <c r="G76" s="6" t="s">
        <v>61</v>
      </c>
      <c r="H76" s="6" t="s">
        <v>133</v>
      </c>
      <c r="I76" s="8" t="s">
        <v>38</v>
      </c>
      <c r="J76" s="8" t="s">
        <v>38</v>
      </c>
      <c r="K76" s="8" t="s">
        <v>38</v>
      </c>
      <c r="L76" s="8" t="s">
        <v>39</v>
      </c>
      <c r="M76" s="8" t="s">
        <v>38</v>
      </c>
    </row>
    <row r="77" spans="1:13" x14ac:dyDescent="0.25">
      <c r="A77" s="6" t="s">
        <v>391</v>
      </c>
      <c r="B77" s="6" t="s">
        <v>362</v>
      </c>
      <c r="C77" s="6" t="s">
        <v>392</v>
      </c>
      <c r="D77" s="6" t="s">
        <v>393</v>
      </c>
      <c r="E77" s="6" t="s">
        <v>394</v>
      </c>
      <c r="F77" s="6" t="s">
        <v>67</v>
      </c>
      <c r="G77" s="6" t="s">
        <v>74</v>
      </c>
      <c r="H77" s="6" t="s">
        <v>133</v>
      </c>
      <c r="I77" s="8" t="s">
        <v>38</v>
      </c>
      <c r="J77" s="8" t="s">
        <v>38</v>
      </c>
      <c r="K77" s="8" t="s">
        <v>38</v>
      </c>
      <c r="L77" s="8" t="s">
        <v>39</v>
      </c>
      <c r="M77" s="8" t="s">
        <v>38</v>
      </c>
    </row>
    <row r="78" spans="1:13" x14ac:dyDescent="0.25">
      <c r="A78" s="6" t="s">
        <v>395</v>
      </c>
      <c r="B78" s="6" t="s">
        <v>150</v>
      </c>
      <c r="C78" s="6" t="s">
        <v>396</v>
      </c>
      <c r="D78" s="6" t="s">
        <v>397</v>
      </c>
      <c r="E78" s="6" t="s">
        <v>398</v>
      </c>
      <c r="F78" s="6" t="s">
        <v>150</v>
      </c>
      <c r="G78" s="7" t="s">
        <v>36</v>
      </c>
      <c r="H78" s="6" t="s">
        <v>150</v>
      </c>
      <c r="I78" s="8" t="s">
        <v>38</v>
      </c>
      <c r="J78" s="8" t="s">
        <v>38</v>
      </c>
      <c r="K78" s="8" t="s">
        <v>38</v>
      </c>
      <c r="L78" s="8" t="s">
        <v>127</v>
      </c>
      <c r="M78" s="8" t="s">
        <v>399</v>
      </c>
    </row>
    <row r="79" spans="1:13" x14ac:dyDescent="0.25">
      <c r="A79" s="6" t="s">
        <v>400</v>
      </c>
      <c r="B79" s="6" t="s">
        <v>150</v>
      </c>
      <c r="C79" s="6" t="s">
        <v>401</v>
      </c>
      <c r="D79" s="6" t="s">
        <v>402</v>
      </c>
      <c r="E79" s="6" t="s">
        <v>403</v>
      </c>
      <c r="F79" s="6" t="s">
        <v>150</v>
      </c>
      <c r="G79" s="6" t="s">
        <v>61</v>
      </c>
      <c r="H79" s="6" t="s">
        <v>150</v>
      </c>
      <c r="I79" s="8" t="s">
        <v>38</v>
      </c>
      <c r="J79" s="8" t="s">
        <v>38</v>
      </c>
      <c r="K79" s="8" t="s">
        <v>38</v>
      </c>
      <c r="L79" s="8" t="s">
        <v>39</v>
      </c>
      <c r="M79" s="8" t="s">
        <v>38</v>
      </c>
    </row>
    <row r="80" spans="1:13" x14ac:dyDescent="0.25">
      <c r="A80" s="6" t="s">
        <v>404</v>
      </c>
      <c r="B80" s="6" t="s">
        <v>150</v>
      </c>
      <c r="C80" s="6" t="s">
        <v>405</v>
      </c>
      <c r="D80" s="6" t="s">
        <v>406</v>
      </c>
      <c r="E80" s="6" t="s">
        <v>407</v>
      </c>
      <c r="F80" s="6" t="s">
        <v>150</v>
      </c>
      <c r="G80" s="7" t="s">
        <v>36</v>
      </c>
      <c r="H80" s="6" t="s">
        <v>150</v>
      </c>
      <c r="I80" s="8" t="s">
        <v>38</v>
      </c>
      <c r="J80" s="8" t="s">
        <v>38</v>
      </c>
      <c r="K80" s="8" t="s">
        <v>38</v>
      </c>
      <c r="L80" s="8" t="s">
        <v>127</v>
      </c>
      <c r="M80" s="8" t="s">
        <v>408</v>
      </c>
    </row>
    <row r="81" spans="1:13" x14ac:dyDescent="0.25">
      <c r="A81" s="6" t="s">
        <v>409</v>
      </c>
      <c r="B81" s="6" t="s">
        <v>150</v>
      </c>
      <c r="C81" s="6" t="s">
        <v>410</v>
      </c>
      <c r="D81" s="6" t="s">
        <v>411</v>
      </c>
      <c r="E81" s="6" t="s">
        <v>412</v>
      </c>
      <c r="F81" s="6" t="s">
        <v>80</v>
      </c>
      <c r="G81" s="6" t="s">
        <v>61</v>
      </c>
      <c r="H81" s="6" t="s">
        <v>150</v>
      </c>
      <c r="I81" s="8" t="s">
        <v>38</v>
      </c>
      <c r="J81" s="8" t="s">
        <v>38</v>
      </c>
      <c r="K81" s="8" t="s">
        <v>38</v>
      </c>
      <c r="L81" s="8" t="s">
        <v>39</v>
      </c>
      <c r="M81" s="8" t="s">
        <v>38</v>
      </c>
    </row>
    <row r="82" spans="1:13" x14ac:dyDescent="0.25">
      <c r="A82" s="6" t="s">
        <v>413</v>
      </c>
      <c r="B82" s="6" t="s">
        <v>150</v>
      </c>
      <c r="C82" s="6" t="s">
        <v>414</v>
      </c>
      <c r="D82" s="6" t="s">
        <v>415</v>
      </c>
      <c r="E82" s="6" t="s">
        <v>416</v>
      </c>
      <c r="F82" s="6" t="s">
        <v>150</v>
      </c>
      <c r="G82" s="6" t="s">
        <v>74</v>
      </c>
      <c r="H82" s="6" t="s">
        <v>150</v>
      </c>
      <c r="I82" s="8" t="s">
        <v>38</v>
      </c>
      <c r="J82" s="8" t="s">
        <v>38</v>
      </c>
      <c r="K82" s="8" t="s">
        <v>38</v>
      </c>
      <c r="L82" s="8" t="s">
        <v>39</v>
      </c>
      <c r="M82" s="8" t="s">
        <v>38</v>
      </c>
    </row>
    <row r="83" spans="1:13" x14ac:dyDescent="0.25">
      <c r="A83" s="6" t="s">
        <v>417</v>
      </c>
      <c r="B83" s="6" t="s">
        <v>150</v>
      </c>
      <c r="C83" s="6" t="s">
        <v>418</v>
      </c>
      <c r="D83" s="6" t="s">
        <v>419</v>
      </c>
      <c r="E83" s="6" t="s">
        <v>420</v>
      </c>
      <c r="F83" s="6" t="s">
        <v>150</v>
      </c>
      <c r="G83" s="6" t="s">
        <v>74</v>
      </c>
      <c r="H83" s="6" t="s">
        <v>150</v>
      </c>
      <c r="I83" s="8" t="s">
        <v>38</v>
      </c>
      <c r="J83" s="8" t="s">
        <v>38</v>
      </c>
      <c r="K83" s="8" t="s">
        <v>38</v>
      </c>
      <c r="L83" s="8" t="s">
        <v>39</v>
      </c>
      <c r="M83" s="8" t="s">
        <v>38</v>
      </c>
    </row>
    <row r="84" spans="1:13" x14ac:dyDescent="0.25">
      <c r="A84" s="6" t="s">
        <v>421</v>
      </c>
      <c r="B84" s="6" t="s">
        <v>149</v>
      </c>
      <c r="C84" s="6" t="s">
        <v>422</v>
      </c>
      <c r="D84" s="6" t="s">
        <v>423</v>
      </c>
      <c r="E84" s="6" t="s">
        <v>424</v>
      </c>
      <c r="F84" s="6" t="s">
        <v>149</v>
      </c>
      <c r="G84" s="6" t="s">
        <v>61</v>
      </c>
      <c r="H84" s="6" t="s">
        <v>133</v>
      </c>
      <c r="I84" s="8" t="s">
        <v>38</v>
      </c>
      <c r="J84" s="8" t="s">
        <v>38</v>
      </c>
      <c r="K84" s="8" t="s">
        <v>38</v>
      </c>
      <c r="L84" s="8" t="s">
        <v>39</v>
      </c>
      <c r="M84" s="8" t="s">
        <v>425</v>
      </c>
    </row>
    <row r="85" spans="1:13" x14ac:dyDescent="0.25">
      <c r="A85" s="6" t="s">
        <v>426</v>
      </c>
      <c r="B85" s="6" t="s">
        <v>149</v>
      </c>
      <c r="C85" s="6" t="s">
        <v>427</v>
      </c>
      <c r="D85" s="6" t="s">
        <v>428</v>
      </c>
      <c r="E85" s="6" t="s">
        <v>429</v>
      </c>
      <c r="F85" s="6" t="s">
        <v>149</v>
      </c>
      <c r="G85" s="6" t="s">
        <v>61</v>
      </c>
      <c r="H85" s="6" t="s">
        <v>149</v>
      </c>
      <c r="I85" s="8" t="s">
        <v>38</v>
      </c>
      <c r="J85" s="8" t="s">
        <v>38</v>
      </c>
      <c r="K85" s="8" t="s">
        <v>38</v>
      </c>
      <c r="L85" s="8" t="s">
        <v>39</v>
      </c>
      <c r="M85" s="8" t="s">
        <v>38</v>
      </c>
    </row>
    <row r="86" spans="1:13" x14ac:dyDescent="0.25">
      <c r="A86" s="6" t="s">
        <v>430</v>
      </c>
      <c r="B86" s="6" t="s">
        <v>149</v>
      </c>
      <c r="C86" s="6" t="s">
        <v>431</v>
      </c>
      <c r="D86" s="6" t="s">
        <v>432</v>
      </c>
      <c r="E86" s="6" t="s">
        <v>433</v>
      </c>
      <c r="F86" s="6" t="s">
        <v>149</v>
      </c>
      <c r="G86" s="6" t="s">
        <v>61</v>
      </c>
      <c r="H86" s="6" t="s">
        <v>149</v>
      </c>
      <c r="I86" s="8" t="s">
        <v>38</v>
      </c>
      <c r="J86" s="8" t="s">
        <v>38</v>
      </c>
      <c r="K86" s="8" t="s">
        <v>38</v>
      </c>
      <c r="L86" s="8" t="s">
        <v>39</v>
      </c>
      <c r="M86" s="8" t="s">
        <v>38</v>
      </c>
    </row>
    <row r="87" spans="1:13" x14ac:dyDescent="0.25">
      <c r="A87" s="6" t="s">
        <v>434</v>
      </c>
      <c r="B87" s="6" t="s">
        <v>149</v>
      </c>
      <c r="C87" s="6" t="s">
        <v>435</v>
      </c>
      <c r="D87" s="6" t="s">
        <v>436</v>
      </c>
      <c r="E87" s="6" t="s">
        <v>437</v>
      </c>
      <c r="F87" s="6" t="s">
        <v>150</v>
      </c>
      <c r="G87" s="6" t="s">
        <v>61</v>
      </c>
      <c r="H87" s="6" t="s">
        <v>133</v>
      </c>
      <c r="I87" s="8" t="s">
        <v>38</v>
      </c>
      <c r="J87" s="8" t="s">
        <v>38</v>
      </c>
      <c r="K87" s="8" t="s">
        <v>38</v>
      </c>
      <c r="L87" s="8" t="s">
        <v>39</v>
      </c>
      <c r="M87" s="8" t="s">
        <v>38</v>
      </c>
    </row>
    <row r="88" spans="1:13" x14ac:dyDescent="0.25">
      <c r="A88" s="6" t="s">
        <v>438</v>
      </c>
      <c r="B88" s="6" t="s">
        <v>439</v>
      </c>
      <c r="C88" s="6" t="s">
        <v>440</v>
      </c>
      <c r="D88" s="6" t="s">
        <v>441</v>
      </c>
      <c r="E88" s="6" t="s">
        <v>442</v>
      </c>
      <c r="F88" s="6" t="s">
        <v>35</v>
      </c>
      <c r="G88" s="7" t="s">
        <v>36</v>
      </c>
      <c r="H88" s="6" t="s">
        <v>37</v>
      </c>
      <c r="I88" s="8" t="s">
        <v>38</v>
      </c>
      <c r="J88" s="8" t="s">
        <v>38</v>
      </c>
      <c r="K88" s="8" t="s">
        <v>38</v>
      </c>
      <c r="L88" s="8" t="s">
        <v>39</v>
      </c>
      <c r="M88" s="8" t="s">
        <v>38</v>
      </c>
    </row>
    <row r="89" spans="1:13" x14ac:dyDescent="0.25">
      <c r="A89" s="6" t="s">
        <v>443</v>
      </c>
      <c r="B89" s="6" t="s">
        <v>439</v>
      </c>
      <c r="C89" s="6" t="s">
        <v>444</v>
      </c>
      <c r="D89" s="6" t="s">
        <v>445</v>
      </c>
      <c r="E89" s="6" t="s">
        <v>446</v>
      </c>
      <c r="F89" s="6" t="s">
        <v>35</v>
      </c>
      <c r="G89" s="6" t="s">
        <v>61</v>
      </c>
      <c r="H89" s="6" t="s">
        <v>447</v>
      </c>
      <c r="I89" s="8" t="s">
        <v>38</v>
      </c>
      <c r="J89" s="8" t="s">
        <v>38</v>
      </c>
      <c r="K89" s="8" t="s">
        <v>38</v>
      </c>
      <c r="L89" s="8" t="s">
        <v>39</v>
      </c>
      <c r="M89" s="8" t="s">
        <v>38</v>
      </c>
    </row>
    <row r="90" spans="1:13" x14ac:dyDescent="0.25">
      <c r="A90" s="6" t="s">
        <v>448</v>
      </c>
      <c r="B90" s="6" t="s">
        <v>439</v>
      </c>
      <c r="C90" s="6" t="s">
        <v>449</v>
      </c>
      <c r="D90" s="6" t="s">
        <v>450</v>
      </c>
      <c r="E90" s="6" t="s">
        <v>451</v>
      </c>
      <c r="F90" s="6" t="s">
        <v>452</v>
      </c>
      <c r="G90" s="6" t="s">
        <v>61</v>
      </c>
      <c r="H90" s="6" t="s">
        <v>447</v>
      </c>
      <c r="I90" s="8" t="s">
        <v>38</v>
      </c>
      <c r="J90" s="8" t="s">
        <v>38</v>
      </c>
      <c r="K90" s="8" t="s">
        <v>38</v>
      </c>
      <c r="L90" s="8" t="s">
        <v>39</v>
      </c>
      <c r="M90" s="8" t="s">
        <v>38</v>
      </c>
    </row>
    <row r="91" spans="1:13" x14ac:dyDescent="0.25">
      <c r="A91" s="6" t="s">
        <v>453</v>
      </c>
      <c r="B91" s="6" t="s">
        <v>439</v>
      </c>
      <c r="C91" s="6" t="s">
        <v>454</v>
      </c>
      <c r="D91" s="6" t="s">
        <v>455</v>
      </c>
      <c r="E91" s="6" t="s">
        <v>456</v>
      </c>
      <c r="F91" s="6" t="s">
        <v>457</v>
      </c>
      <c r="G91" s="6" t="s">
        <v>61</v>
      </c>
      <c r="H91" s="6" t="s">
        <v>447</v>
      </c>
      <c r="I91" s="8" t="s">
        <v>38</v>
      </c>
      <c r="J91" s="8" t="s">
        <v>38</v>
      </c>
      <c r="K91" s="8" t="s">
        <v>38</v>
      </c>
      <c r="L91" s="8" t="s">
        <v>39</v>
      </c>
      <c r="M91" s="8" t="s">
        <v>38</v>
      </c>
    </row>
    <row r="92" spans="1:13" x14ac:dyDescent="0.25">
      <c r="A92" s="6" t="s">
        <v>458</v>
      </c>
      <c r="B92" s="6" t="s">
        <v>439</v>
      </c>
      <c r="C92" s="6" t="s">
        <v>459</v>
      </c>
      <c r="D92" s="6" t="s">
        <v>460</v>
      </c>
      <c r="E92" s="6" t="s">
        <v>461</v>
      </c>
      <c r="F92" s="6" t="s">
        <v>462</v>
      </c>
      <c r="G92" s="6" t="s">
        <v>61</v>
      </c>
      <c r="H92" s="6" t="s">
        <v>447</v>
      </c>
      <c r="I92" s="8" t="s">
        <v>38</v>
      </c>
      <c r="J92" s="8" t="s">
        <v>38</v>
      </c>
      <c r="K92" s="8" t="s">
        <v>38</v>
      </c>
      <c r="L92" s="8" t="s">
        <v>39</v>
      </c>
      <c r="M92" s="8" t="s">
        <v>38</v>
      </c>
    </row>
    <row r="93" spans="1:13" x14ac:dyDescent="0.25">
      <c r="A93" s="6" t="s">
        <v>463</v>
      </c>
      <c r="B93" s="6" t="s">
        <v>439</v>
      </c>
      <c r="C93" s="6" t="s">
        <v>464</v>
      </c>
      <c r="D93" s="6" t="s">
        <v>465</v>
      </c>
      <c r="E93" s="6" t="s">
        <v>466</v>
      </c>
      <c r="F93" s="6" t="s">
        <v>462</v>
      </c>
      <c r="G93" s="6" t="s">
        <v>61</v>
      </c>
      <c r="H93" s="6" t="s">
        <v>447</v>
      </c>
      <c r="I93" s="8" t="s">
        <v>38</v>
      </c>
      <c r="J93" s="8" t="s">
        <v>38</v>
      </c>
      <c r="K93" s="8" t="s">
        <v>38</v>
      </c>
      <c r="L93" s="8" t="s">
        <v>39</v>
      </c>
      <c r="M93" s="8" t="s">
        <v>38</v>
      </c>
    </row>
    <row r="94" spans="1:13" x14ac:dyDescent="0.25">
      <c r="A94" s="6" t="s">
        <v>467</v>
      </c>
      <c r="B94" s="6" t="s">
        <v>439</v>
      </c>
      <c r="C94" s="6" t="s">
        <v>468</v>
      </c>
      <c r="D94" s="6" t="s">
        <v>469</v>
      </c>
      <c r="E94" s="6" t="s">
        <v>470</v>
      </c>
      <c r="F94" s="6" t="s">
        <v>174</v>
      </c>
      <c r="G94" s="6" t="s">
        <v>61</v>
      </c>
      <c r="H94" s="6" t="s">
        <v>447</v>
      </c>
      <c r="I94" s="8" t="s">
        <v>38</v>
      </c>
      <c r="J94" s="8" t="s">
        <v>38</v>
      </c>
      <c r="K94" s="8" t="s">
        <v>38</v>
      </c>
      <c r="L94" s="8" t="s">
        <v>39</v>
      </c>
      <c r="M94" s="8" t="s">
        <v>38</v>
      </c>
    </row>
    <row r="95" spans="1:13" x14ac:dyDescent="0.25">
      <c r="A95" s="6" t="s">
        <v>471</v>
      </c>
      <c r="B95" s="6" t="s">
        <v>439</v>
      </c>
      <c r="C95" s="6" t="s">
        <v>472</v>
      </c>
      <c r="D95" s="6" t="s">
        <v>473</v>
      </c>
      <c r="E95" s="6" t="s">
        <v>236</v>
      </c>
      <c r="F95" s="6" t="s">
        <v>149</v>
      </c>
      <c r="G95" s="6" t="s">
        <v>74</v>
      </c>
      <c r="H95" s="6" t="s">
        <v>447</v>
      </c>
      <c r="I95" s="8" t="s">
        <v>38</v>
      </c>
      <c r="J95" s="8" t="s">
        <v>38</v>
      </c>
      <c r="K95" s="8" t="s">
        <v>38</v>
      </c>
      <c r="L95" s="8" t="s">
        <v>39</v>
      </c>
      <c r="M95" s="8" t="s">
        <v>38</v>
      </c>
    </row>
    <row r="96" spans="1:13" x14ac:dyDescent="0.25">
      <c r="A96" s="6" t="s">
        <v>474</v>
      </c>
      <c r="B96" s="6" t="s">
        <v>475</v>
      </c>
      <c r="C96" s="6" t="s">
        <v>476</v>
      </c>
      <c r="D96" s="6" t="s">
        <v>477</v>
      </c>
      <c r="E96" s="6" t="s">
        <v>478</v>
      </c>
      <c r="F96" s="6" t="s">
        <v>80</v>
      </c>
      <c r="G96" s="6" t="s">
        <v>61</v>
      </c>
      <c r="H96" s="6" t="s">
        <v>479</v>
      </c>
      <c r="I96" s="8" t="s">
        <v>38</v>
      </c>
      <c r="J96" s="8" t="s">
        <v>38</v>
      </c>
      <c r="K96" s="8" t="s">
        <v>38</v>
      </c>
      <c r="L96" s="8" t="s">
        <v>39</v>
      </c>
      <c r="M96" s="8" t="s">
        <v>38</v>
      </c>
    </row>
    <row r="97" spans="1:13" x14ac:dyDescent="0.25">
      <c r="A97" s="6" t="s">
        <v>480</v>
      </c>
      <c r="B97" s="6" t="s">
        <v>475</v>
      </c>
      <c r="C97" s="6" t="s">
        <v>481</v>
      </c>
      <c r="D97" s="6" t="s">
        <v>482</v>
      </c>
      <c r="E97" s="6" t="s">
        <v>483</v>
      </c>
      <c r="F97" s="6" t="s">
        <v>484</v>
      </c>
      <c r="G97" s="6" t="s">
        <v>61</v>
      </c>
      <c r="H97" s="6" t="s">
        <v>479</v>
      </c>
      <c r="I97" s="8" t="s">
        <v>38</v>
      </c>
      <c r="J97" s="8" t="s">
        <v>38</v>
      </c>
      <c r="K97" s="8" t="s">
        <v>38</v>
      </c>
      <c r="L97" s="8" t="s">
        <v>39</v>
      </c>
      <c r="M97" s="8" t="s">
        <v>38</v>
      </c>
    </row>
    <row r="98" spans="1:13" x14ac:dyDescent="0.25">
      <c r="A98" s="6" t="s">
        <v>485</v>
      </c>
      <c r="B98" s="6" t="s">
        <v>475</v>
      </c>
      <c r="C98" s="6" t="s">
        <v>486</v>
      </c>
      <c r="D98" s="6" t="s">
        <v>487</v>
      </c>
      <c r="E98" s="6" t="s">
        <v>488</v>
      </c>
      <c r="F98" s="6" t="s">
        <v>80</v>
      </c>
      <c r="G98" s="6" t="s">
        <v>74</v>
      </c>
      <c r="H98" s="6" t="s">
        <v>479</v>
      </c>
      <c r="I98" s="8" t="s">
        <v>38</v>
      </c>
      <c r="J98" s="8" t="s">
        <v>38</v>
      </c>
      <c r="K98" s="8" t="s">
        <v>38</v>
      </c>
      <c r="L98" s="8" t="s">
        <v>39</v>
      </c>
      <c r="M98" s="8" t="s">
        <v>38</v>
      </c>
    </row>
    <row r="99" spans="1:13" x14ac:dyDescent="0.25">
      <c r="A99" s="6" t="s">
        <v>489</v>
      </c>
      <c r="B99" s="6" t="s">
        <v>490</v>
      </c>
      <c r="C99" s="6" t="s">
        <v>491</v>
      </c>
      <c r="D99" s="6" t="s">
        <v>492</v>
      </c>
      <c r="E99" s="6" t="s">
        <v>493</v>
      </c>
      <c r="F99" s="6" t="s">
        <v>494</v>
      </c>
      <c r="G99" s="7" t="s">
        <v>36</v>
      </c>
      <c r="H99" s="6" t="s">
        <v>37</v>
      </c>
      <c r="I99" s="8" t="s">
        <v>38</v>
      </c>
      <c r="J99" s="8" t="s">
        <v>38</v>
      </c>
      <c r="K99" s="8" t="s">
        <v>38</v>
      </c>
      <c r="L99" s="8" t="s">
        <v>39</v>
      </c>
      <c r="M99" s="8" t="s">
        <v>38</v>
      </c>
    </row>
    <row r="100" spans="1:13" x14ac:dyDescent="0.25">
      <c r="A100" s="6" t="s">
        <v>495</v>
      </c>
      <c r="B100" s="6" t="s">
        <v>490</v>
      </c>
      <c r="C100" s="6" t="s">
        <v>496</v>
      </c>
      <c r="D100" s="6" t="s">
        <v>497</v>
      </c>
      <c r="E100" s="6" t="s">
        <v>100</v>
      </c>
      <c r="F100" s="6" t="s">
        <v>494</v>
      </c>
      <c r="G100" s="7" t="s">
        <v>36</v>
      </c>
      <c r="H100" s="6" t="s">
        <v>447</v>
      </c>
      <c r="I100" s="8" t="s">
        <v>38</v>
      </c>
      <c r="J100" s="8" t="s">
        <v>38</v>
      </c>
      <c r="K100" s="8" t="s">
        <v>38</v>
      </c>
      <c r="L100" s="8" t="s">
        <v>39</v>
      </c>
      <c r="M100" s="8" t="s">
        <v>38</v>
      </c>
    </row>
    <row r="101" spans="1:13" x14ac:dyDescent="0.25">
      <c r="A101" s="6" t="s">
        <v>498</v>
      </c>
      <c r="B101" s="6" t="s">
        <v>490</v>
      </c>
      <c r="C101" s="6" t="s">
        <v>499</v>
      </c>
      <c r="D101" s="6" t="s">
        <v>500</v>
      </c>
      <c r="E101" s="6" t="s">
        <v>27</v>
      </c>
      <c r="F101" s="6" t="s">
        <v>494</v>
      </c>
      <c r="G101" s="7" t="s">
        <v>36</v>
      </c>
      <c r="H101" s="6" t="s">
        <v>37</v>
      </c>
      <c r="I101" s="8" t="s">
        <v>38</v>
      </c>
      <c r="J101" s="8" t="s">
        <v>38</v>
      </c>
      <c r="K101" s="8" t="s">
        <v>38</v>
      </c>
      <c r="L101" s="8" t="s">
        <v>39</v>
      </c>
      <c r="M101" s="8" t="s">
        <v>38</v>
      </c>
    </row>
    <row r="102" spans="1:13" x14ac:dyDescent="0.25">
      <c r="A102" s="6" t="s">
        <v>501</v>
      </c>
      <c r="B102" s="6" t="s">
        <v>490</v>
      </c>
      <c r="C102" s="6" t="s">
        <v>502</v>
      </c>
      <c r="D102" s="6" t="s">
        <v>503</v>
      </c>
      <c r="E102" s="6" t="s">
        <v>100</v>
      </c>
      <c r="F102" s="6" t="s">
        <v>494</v>
      </c>
      <c r="G102" s="7" t="s">
        <v>36</v>
      </c>
      <c r="H102" s="6" t="s">
        <v>37</v>
      </c>
      <c r="I102" s="8" t="s">
        <v>38</v>
      </c>
      <c r="J102" s="8" t="s">
        <v>38</v>
      </c>
      <c r="K102" s="8" t="s">
        <v>38</v>
      </c>
      <c r="L102" s="8" t="s">
        <v>39</v>
      </c>
      <c r="M102" s="8" t="s">
        <v>38</v>
      </c>
    </row>
    <row r="103" spans="1:13" x14ac:dyDescent="0.25">
      <c r="A103" s="6" t="s">
        <v>504</v>
      </c>
      <c r="B103" s="6" t="s">
        <v>490</v>
      </c>
      <c r="C103" s="6" t="s">
        <v>505</v>
      </c>
      <c r="D103" s="6" t="s">
        <v>506</v>
      </c>
      <c r="E103" s="6" t="s">
        <v>507</v>
      </c>
      <c r="F103" s="6" t="s">
        <v>494</v>
      </c>
      <c r="G103" s="6" t="s">
        <v>61</v>
      </c>
      <c r="H103" s="6" t="s">
        <v>37</v>
      </c>
      <c r="I103" s="8" t="s">
        <v>38</v>
      </c>
      <c r="J103" s="8" t="s">
        <v>38</v>
      </c>
      <c r="K103" s="8" t="s">
        <v>38</v>
      </c>
      <c r="L103" s="8" t="s">
        <v>39</v>
      </c>
      <c r="M103" s="8" t="s">
        <v>38</v>
      </c>
    </row>
    <row r="104" spans="1:13" x14ac:dyDescent="0.25">
      <c r="A104" s="6" t="s">
        <v>508</v>
      </c>
      <c r="B104" s="6" t="s">
        <v>490</v>
      </c>
      <c r="C104" s="6" t="s">
        <v>509</v>
      </c>
      <c r="D104" s="6" t="s">
        <v>510</v>
      </c>
      <c r="E104" s="6" t="s">
        <v>236</v>
      </c>
      <c r="F104" s="6" t="s">
        <v>494</v>
      </c>
      <c r="G104" s="6" t="s">
        <v>74</v>
      </c>
      <c r="H104" s="6" t="s">
        <v>511</v>
      </c>
      <c r="I104" s="8" t="s">
        <v>38</v>
      </c>
      <c r="J104" s="8" t="s">
        <v>38</v>
      </c>
      <c r="K104" s="8" t="s">
        <v>38</v>
      </c>
      <c r="L104" s="8" t="s">
        <v>39</v>
      </c>
      <c r="M104" s="8" t="s">
        <v>38</v>
      </c>
    </row>
  </sheetData>
  <autoFilter ref="A1:M1"/>
  <conditionalFormatting sqref="A2:M104">
    <cfRule type="expression" dxfId="0" priority="1">
      <formula>$L2="Risposta data"</formula>
    </cfRule>
    <cfRule type="expression" dxfId="1" priority="2">
      <formula>$L2="Da chiarire"</formula>
    </cfRule>
    <cfRule type="expression" dxfId="2" priority="3">
      <formula>$L2="Nell'onboarding"</formula>
    </cfRule>
  </conditionalFormatting>
  <dataValidations count="4">
    <dataValidation type="list" allowBlank="1" showErrorMessage="1" errorTitle="Valore non valido" error="Scegli tra: Alta, Media, Bassa" sqref="G10:G104">
      <formula1>"Alta,Media,Bassa"</formula1>
    </dataValidation>
    <dataValidation type="list" allowBlank="1" showErrorMessage="1" errorTitle="Valore non valido" error="Scegli tra: Alta, Media, Bassa" sqref="G2:G104">
      <formula1>"Alta,Media,Bassa"</formula1>
    </dataValidation>
    <dataValidation type="list" allowBlank="1" showErrorMessage="1" errorTitle="Valore non valido" error="Scegli tra: Da chiedere, Chiesta, Risposta data, Da chiarire, Nell'onboarding" sqref="L10:L104">
      <formula1>"Da chiedere,Chiesta,Risposta data,Da chiarire,Nell'onboarding"</formula1>
    </dataValidation>
    <dataValidation type="list" allowBlank="1" showErrorMessage="1" errorTitle="Valore non valido" error="Scegli tra: Da chiedere, Chiesta, Risposta data, Da chiarire, Nell'onboarding" sqref="L2:L104">
      <formula1>"Da chiedere,Chiesta,Risposta data,Da chiarire,Nell'onboarding"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  <pageSetUpPr fitToPage="1"/>
  </sheetPr>
  <dimension ref="A1:H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26" customWidth="1"/>
    <col min="3" max="3" width="70" customWidth="1"/>
    <col min="4" max="4" width="18" customWidth="1"/>
    <col min="5" max="5" width="24" customWidth="1"/>
    <col min="6" max="6" width="10" customWidth="1"/>
    <col min="7" max="7" width="16" customWidth="1"/>
    <col min="8" max="8" width="40" customWidth="1"/>
  </cols>
  <sheetData>
    <row r="1" ht="30" customHeight="1" spans="1:8" x14ac:dyDescent="0.25">
      <c r="A1" s="5" t="s">
        <v>18</v>
      </c>
      <c r="B1" s="5" t="s">
        <v>512</v>
      </c>
      <c r="C1" s="5" t="s">
        <v>513</v>
      </c>
      <c r="D1" s="5" t="s">
        <v>514</v>
      </c>
      <c r="E1" s="5" t="s">
        <v>24</v>
      </c>
      <c r="F1" s="5" t="s">
        <v>9</v>
      </c>
      <c r="G1" s="5" t="s">
        <v>28</v>
      </c>
      <c r="H1" s="5" t="s">
        <v>29</v>
      </c>
    </row>
    <row r="2" spans="1:8" x14ac:dyDescent="0.25">
      <c r="A2" s="6" t="s">
        <v>515</v>
      </c>
      <c r="B2" s="6" t="s">
        <v>516</v>
      </c>
      <c r="C2" s="6" t="s">
        <v>517</v>
      </c>
      <c r="D2" s="6" t="s">
        <v>174</v>
      </c>
      <c r="E2" s="6" t="s">
        <v>44</v>
      </c>
      <c r="F2" s="6" t="s">
        <v>36</v>
      </c>
      <c r="G2" s="8" t="s">
        <v>518</v>
      </c>
      <c r="H2" s="8" t="s">
        <v>38</v>
      </c>
    </row>
    <row r="3" spans="1:8" x14ac:dyDescent="0.25">
      <c r="A3" s="6" t="s">
        <v>519</v>
      </c>
      <c r="B3" s="6" t="s">
        <v>520</v>
      </c>
      <c r="C3" s="6" t="s">
        <v>521</v>
      </c>
      <c r="D3" s="6" t="s">
        <v>174</v>
      </c>
      <c r="E3" s="6" t="s">
        <v>44</v>
      </c>
      <c r="F3" s="6" t="s">
        <v>36</v>
      </c>
      <c r="G3" s="8" t="s">
        <v>518</v>
      </c>
      <c r="H3" s="8" t="s">
        <v>38</v>
      </c>
    </row>
    <row r="4" spans="1:8" x14ac:dyDescent="0.25">
      <c r="A4" s="6" t="s">
        <v>522</v>
      </c>
      <c r="B4" s="6" t="s">
        <v>523</v>
      </c>
      <c r="C4" s="6" t="s">
        <v>524</v>
      </c>
      <c r="D4" s="6" t="s">
        <v>60</v>
      </c>
      <c r="E4" s="6" t="s">
        <v>44</v>
      </c>
      <c r="F4" s="6" t="s">
        <v>36</v>
      </c>
      <c r="G4" s="8" t="s">
        <v>518</v>
      </c>
      <c r="H4" s="8" t="s">
        <v>38</v>
      </c>
    </row>
    <row r="5" spans="1:8" x14ac:dyDescent="0.25">
      <c r="A5" s="6" t="s">
        <v>525</v>
      </c>
      <c r="B5" s="6" t="s">
        <v>526</v>
      </c>
      <c r="C5" s="6" t="s">
        <v>527</v>
      </c>
      <c r="D5" s="6" t="s">
        <v>60</v>
      </c>
      <c r="E5" s="6" t="s">
        <v>44</v>
      </c>
      <c r="F5" s="6" t="s">
        <v>36</v>
      </c>
      <c r="G5" s="8" t="s">
        <v>518</v>
      </c>
      <c r="H5" s="8" t="s">
        <v>38</v>
      </c>
    </row>
    <row r="6" spans="1:8" x14ac:dyDescent="0.25">
      <c r="A6" s="6" t="s">
        <v>528</v>
      </c>
      <c r="B6" s="6" t="s">
        <v>529</v>
      </c>
      <c r="C6" s="6" t="s">
        <v>530</v>
      </c>
      <c r="D6" s="6" t="s">
        <v>67</v>
      </c>
      <c r="E6" s="6" t="s">
        <v>247</v>
      </c>
      <c r="F6" s="6" t="s">
        <v>36</v>
      </c>
      <c r="G6" s="8" t="s">
        <v>518</v>
      </c>
      <c r="H6" s="8" t="s">
        <v>38</v>
      </c>
    </row>
    <row r="7" spans="1:8" x14ac:dyDescent="0.25">
      <c r="A7" s="6" t="s">
        <v>531</v>
      </c>
      <c r="B7" s="6" t="s">
        <v>532</v>
      </c>
      <c r="C7" s="6" t="s">
        <v>533</v>
      </c>
      <c r="D7" s="6" t="s">
        <v>174</v>
      </c>
      <c r="E7" s="6" t="s">
        <v>62</v>
      </c>
      <c r="F7" s="6" t="s">
        <v>36</v>
      </c>
      <c r="G7" s="8" t="s">
        <v>518</v>
      </c>
      <c r="H7" s="8" t="s">
        <v>38</v>
      </c>
    </row>
    <row r="8" spans="1:8" x14ac:dyDescent="0.25">
      <c r="A8" s="6" t="s">
        <v>534</v>
      </c>
      <c r="B8" s="6" t="s">
        <v>535</v>
      </c>
      <c r="C8" s="6" t="s">
        <v>536</v>
      </c>
      <c r="D8" s="6" t="s">
        <v>174</v>
      </c>
      <c r="E8" s="6" t="s">
        <v>62</v>
      </c>
      <c r="F8" s="6" t="s">
        <v>36</v>
      </c>
      <c r="G8" s="8" t="s">
        <v>518</v>
      </c>
      <c r="H8" s="8" t="s">
        <v>38</v>
      </c>
    </row>
    <row r="9" spans="1:8" x14ac:dyDescent="0.25">
      <c r="A9" s="6" t="s">
        <v>537</v>
      </c>
      <c r="B9" s="6" t="s">
        <v>538</v>
      </c>
      <c r="C9" s="6" t="s">
        <v>539</v>
      </c>
      <c r="D9" s="6" t="s">
        <v>174</v>
      </c>
      <c r="E9" s="6" t="s">
        <v>62</v>
      </c>
      <c r="F9" s="6" t="s">
        <v>36</v>
      </c>
      <c r="G9" s="8" t="s">
        <v>518</v>
      </c>
      <c r="H9" s="8" t="s">
        <v>38</v>
      </c>
    </row>
    <row r="10" spans="1:8" x14ac:dyDescent="0.25">
      <c r="A10" s="6" t="s">
        <v>540</v>
      </c>
      <c r="B10" s="6" t="s">
        <v>541</v>
      </c>
      <c r="C10" s="6" t="s">
        <v>542</v>
      </c>
      <c r="D10" s="6" t="s">
        <v>67</v>
      </c>
      <c r="E10" s="6" t="s">
        <v>168</v>
      </c>
      <c r="F10" s="6" t="s">
        <v>61</v>
      </c>
      <c r="G10" s="8" t="s">
        <v>518</v>
      </c>
      <c r="H10" s="8" t="s">
        <v>38</v>
      </c>
    </row>
    <row r="11" spans="1:8" x14ac:dyDescent="0.25">
      <c r="A11" s="6" t="s">
        <v>543</v>
      </c>
      <c r="B11" s="6" t="s">
        <v>544</v>
      </c>
      <c r="C11" s="6" t="s">
        <v>545</v>
      </c>
      <c r="D11" s="6" t="s">
        <v>150</v>
      </c>
      <c r="E11" s="6" t="s">
        <v>150</v>
      </c>
      <c r="F11" s="6" t="s">
        <v>36</v>
      </c>
      <c r="G11" s="8" t="s">
        <v>518</v>
      </c>
      <c r="H11" s="8" t="s">
        <v>38</v>
      </c>
    </row>
    <row r="12" spans="1:8" x14ac:dyDescent="0.25">
      <c r="A12" s="6" t="s">
        <v>546</v>
      </c>
      <c r="B12" s="6" t="s">
        <v>547</v>
      </c>
      <c r="C12" s="6" t="s">
        <v>548</v>
      </c>
      <c r="D12" s="6" t="s">
        <v>149</v>
      </c>
      <c r="E12" s="6" t="s">
        <v>150</v>
      </c>
      <c r="F12" s="6" t="s">
        <v>36</v>
      </c>
      <c r="G12" s="8" t="s">
        <v>518</v>
      </c>
      <c r="H12" s="8" t="s">
        <v>38</v>
      </c>
    </row>
    <row r="13" spans="1:8" x14ac:dyDescent="0.25">
      <c r="A13" s="6" t="s">
        <v>549</v>
      </c>
      <c r="B13" s="6" t="s">
        <v>550</v>
      </c>
      <c r="C13" s="6" t="s">
        <v>551</v>
      </c>
      <c r="D13" s="6" t="s">
        <v>150</v>
      </c>
      <c r="E13" s="6" t="s">
        <v>133</v>
      </c>
      <c r="F13" s="6" t="s">
        <v>61</v>
      </c>
      <c r="G13" s="8" t="s">
        <v>518</v>
      </c>
      <c r="H13" s="8" t="s">
        <v>38</v>
      </c>
    </row>
    <row r="14" spans="1:8" x14ac:dyDescent="0.25">
      <c r="A14" s="6" t="s">
        <v>552</v>
      </c>
      <c r="B14" s="6" t="s">
        <v>553</v>
      </c>
      <c r="C14" s="6" t="s">
        <v>554</v>
      </c>
      <c r="D14" s="6" t="s">
        <v>150</v>
      </c>
      <c r="E14" s="6" t="s">
        <v>150</v>
      </c>
      <c r="F14" s="6" t="s">
        <v>36</v>
      </c>
      <c r="G14" s="8" t="s">
        <v>518</v>
      </c>
      <c r="H14" s="8" t="s">
        <v>38</v>
      </c>
    </row>
    <row r="15" spans="1:8" x14ac:dyDescent="0.25">
      <c r="A15" s="6" t="s">
        <v>555</v>
      </c>
      <c r="B15" s="6" t="s">
        <v>556</v>
      </c>
      <c r="C15" s="6" t="s">
        <v>557</v>
      </c>
      <c r="D15" s="6" t="s">
        <v>80</v>
      </c>
      <c r="E15" s="6" t="s">
        <v>44</v>
      </c>
      <c r="F15" s="6" t="s">
        <v>61</v>
      </c>
      <c r="G15" s="8" t="s">
        <v>518</v>
      </c>
      <c r="H15" s="8" t="s">
        <v>38</v>
      </c>
    </row>
    <row r="16" spans="1:8" x14ac:dyDescent="0.25">
      <c r="A16" s="6" t="s">
        <v>558</v>
      </c>
      <c r="B16" s="6" t="s">
        <v>559</v>
      </c>
      <c r="C16" s="6" t="s">
        <v>560</v>
      </c>
      <c r="D16" s="6" t="s">
        <v>80</v>
      </c>
      <c r="E16" s="6" t="s">
        <v>447</v>
      </c>
      <c r="F16" s="6" t="s">
        <v>61</v>
      </c>
      <c r="G16" s="8" t="s">
        <v>518</v>
      </c>
      <c r="H16" s="8" t="s">
        <v>38</v>
      </c>
    </row>
    <row r="17" spans="1:8" x14ac:dyDescent="0.25">
      <c r="A17" s="6" t="s">
        <v>561</v>
      </c>
      <c r="B17" s="6" t="s">
        <v>562</v>
      </c>
      <c r="C17" s="6" t="s">
        <v>563</v>
      </c>
      <c r="D17" s="6" t="s">
        <v>67</v>
      </c>
      <c r="E17" s="6" t="s">
        <v>62</v>
      </c>
      <c r="F17" s="6" t="s">
        <v>74</v>
      </c>
      <c r="G17" s="8" t="s">
        <v>518</v>
      </c>
      <c r="H17" s="8" t="s">
        <v>38</v>
      </c>
    </row>
  </sheetData>
  <autoFilter ref="A1:H1"/>
  <conditionalFormatting sqref="A2:H17">
    <cfRule type="expression" dxfId="3" priority="1">
      <formula>$G2="Pronto"</formula>
    </cfRule>
    <cfRule type="expression" dxfId="4" priority="2">
      <formula>$G2="In preparazione"</formula>
    </cfRule>
  </conditionalFormatting>
  <dataValidations count="2">
    <dataValidation type="list" allowBlank="1" showErrorMessage="1" errorTitle="Valore non valido" error="Scegli tra: Da preparare, In preparazione, Pronto" sqref="G10:G17">
      <formula1>"Da preparare,In preparazione,Pronto"</formula1>
    </dataValidation>
    <dataValidation type="list" allowBlank="1" showErrorMessage="1" errorTitle="Valore non valido" error="Scegli tra: Da preparare, In preparazione, Pronto" sqref="G2:G17">
      <formula1>"Da preparare,In preparazione,Pronto"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K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42" customWidth="1"/>
    <col min="3" max="3" width="36" customWidth="1"/>
    <col min="4" max="4" width="10" customWidth="1"/>
    <col min="5" max="5" width="32" customWidth="1"/>
    <col min="6" max="6" width="18" customWidth="1"/>
    <col min="7" max="7" width="32" customWidth="1"/>
    <col min="8" max="8" width="18" customWidth="1"/>
    <col min="9" max="9" width="12" customWidth="1"/>
    <col min="10" max="10" width="15" customWidth="1"/>
    <col min="11" max="11" width="32" customWidth="1"/>
  </cols>
  <sheetData>
    <row r="1" ht="30" customHeight="1" spans="1:11" x14ac:dyDescent="0.25">
      <c r="A1" s="5" t="s">
        <v>18</v>
      </c>
      <c r="B1" s="5" t="s">
        <v>564</v>
      </c>
      <c r="C1" s="5" t="s">
        <v>565</v>
      </c>
      <c r="D1" s="5" t="s">
        <v>566</v>
      </c>
      <c r="E1" s="5" t="s">
        <v>567</v>
      </c>
      <c r="F1" s="5" t="s">
        <v>568</v>
      </c>
      <c r="G1" s="5" t="s">
        <v>569</v>
      </c>
      <c r="H1" s="5" t="s">
        <v>570</v>
      </c>
      <c r="I1" s="5" t="s">
        <v>27</v>
      </c>
      <c r="J1" s="5" t="s">
        <v>28</v>
      </c>
      <c r="K1" s="5" t="s">
        <v>29</v>
      </c>
    </row>
    <row r="2" spans="1:11" x14ac:dyDescent="0.25">
      <c r="A2" s="6" t="s">
        <v>571</v>
      </c>
      <c r="B2" s="6" t="s">
        <v>572</v>
      </c>
      <c r="C2" s="6" t="s">
        <v>573</v>
      </c>
      <c r="D2" s="6" t="s">
        <v>574</v>
      </c>
      <c r="E2" s="6" t="s">
        <v>575</v>
      </c>
      <c r="F2" s="6" t="s">
        <v>95</v>
      </c>
      <c r="G2" s="8" t="s">
        <v>38</v>
      </c>
      <c r="H2" s="8" t="s">
        <v>38</v>
      </c>
      <c r="I2" s="8" t="s">
        <v>38</v>
      </c>
      <c r="J2" s="8" t="s">
        <v>576</v>
      </c>
      <c r="K2" s="8" t="s">
        <v>38</v>
      </c>
    </row>
    <row r="3" spans="1:11" x14ac:dyDescent="0.25">
      <c r="A3" s="6" t="s">
        <v>577</v>
      </c>
      <c r="B3" s="6" t="s">
        <v>578</v>
      </c>
      <c r="C3" s="6" t="s">
        <v>579</v>
      </c>
      <c r="D3" s="6" t="s">
        <v>580</v>
      </c>
      <c r="E3" s="6" t="s">
        <v>581</v>
      </c>
      <c r="F3" s="6" t="s">
        <v>67</v>
      </c>
      <c r="G3" s="8" t="s">
        <v>38</v>
      </c>
      <c r="H3" s="8" t="s">
        <v>38</v>
      </c>
      <c r="I3" s="8" t="s">
        <v>38</v>
      </c>
      <c r="J3" s="8" t="s">
        <v>576</v>
      </c>
      <c r="K3" s="8" t="s">
        <v>38</v>
      </c>
    </row>
    <row r="4" spans="1:11" x14ac:dyDescent="0.25">
      <c r="A4" s="6" t="s">
        <v>582</v>
      </c>
      <c r="B4" s="6" t="s">
        <v>583</v>
      </c>
      <c r="C4" s="6" t="s">
        <v>584</v>
      </c>
      <c r="D4" s="6" t="s">
        <v>585</v>
      </c>
      <c r="E4" s="6" t="s">
        <v>586</v>
      </c>
      <c r="F4" s="6" t="s">
        <v>67</v>
      </c>
      <c r="G4" s="8" t="s">
        <v>38</v>
      </c>
      <c r="H4" s="8" t="s">
        <v>38</v>
      </c>
      <c r="I4" s="8" t="s">
        <v>38</v>
      </c>
      <c r="J4" s="8" t="s">
        <v>576</v>
      </c>
      <c r="K4" s="8" t="s">
        <v>38</v>
      </c>
    </row>
    <row r="5" spans="1:11" x14ac:dyDescent="0.25">
      <c r="A5" s="6" t="s">
        <v>587</v>
      </c>
      <c r="B5" s="6" t="s">
        <v>588</v>
      </c>
      <c r="C5" s="6" t="s">
        <v>589</v>
      </c>
      <c r="D5" s="6" t="s">
        <v>590</v>
      </c>
      <c r="E5" s="6" t="s">
        <v>591</v>
      </c>
      <c r="F5" s="6" t="s">
        <v>67</v>
      </c>
      <c r="G5" s="8" t="s">
        <v>38</v>
      </c>
      <c r="H5" s="8" t="s">
        <v>38</v>
      </c>
      <c r="I5" s="8" t="s">
        <v>38</v>
      </c>
      <c r="J5" s="8" t="s">
        <v>576</v>
      </c>
      <c r="K5" s="8" t="s">
        <v>38</v>
      </c>
    </row>
    <row r="6" spans="1:11" x14ac:dyDescent="0.25">
      <c r="A6" s="6" t="s">
        <v>592</v>
      </c>
      <c r="B6" s="6" t="s">
        <v>593</v>
      </c>
      <c r="C6" s="6" t="s">
        <v>594</v>
      </c>
      <c r="D6" s="6" t="s">
        <v>595</v>
      </c>
      <c r="E6" s="6" t="s">
        <v>596</v>
      </c>
      <c r="F6" s="6" t="s">
        <v>174</v>
      </c>
      <c r="G6" s="8" t="s">
        <v>38</v>
      </c>
      <c r="H6" s="8" t="s">
        <v>38</v>
      </c>
      <c r="I6" s="8" t="s">
        <v>38</v>
      </c>
      <c r="J6" s="8" t="s">
        <v>576</v>
      </c>
      <c r="K6" s="8" t="s">
        <v>38</v>
      </c>
    </row>
    <row r="7" spans="1:11" x14ac:dyDescent="0.25">
      <c r="A7" s="6" t="s">
        <v>597</v>
      </c>
      <c r="B7" s="6" t="s">
        <v>598</v>
      </c>
      <c r="C7" s="6" t="s">
        <v>599</v>
      </c>
      <c r="D7" s="6" t="s">
        <v>600</v>
      </c>
      <c r="E7" s="6" t="s">
        <v>601</v>
      </c>
      <c r="F7" s="6" t="s">
        <v>67</v>
      </c>
      <c r="G7" s="8" t="s">
        <v>38</v>
      </c>
      <c r="H7" s="8" t="s">
        <v>38</v>
      </c>
      <c r="I7" s="8" t="s">
        <v>38</v>
      </c>
      <c r="J7" s="8" t="s">
        <v>576</v>
      </c>
      <c r="K7" s="8" t="s">
        <v>38</v>
      </c>
    </row>
    <row r="8" spans="1:11" x14ac:dyDescent="0.25">
      <c r="A8" s="6" t="s">
        <v>602</v>
      </c>
      <c r="B8" s="6" t="s">
        <v>603</v>
      </c>
      <c r="C8" s="6" t="s">
        <v>604</v>
      </c>
      <c r="D8" s="6" t="s">
        <v>605</v>
      </c>
      <c r="E8" s="6" t="s">
        <v>591</v>
      </c>
      <c r="F8" s="6" t="s">
        <v>67</v>
      </c>
      <c r="G8" s="8" t="s">
        <v>38</v>
      </c>
      <c r="H8" s="8" t="s">
        <v>38</v>
      </c>
      <c r="I8" s="8" t="s">
        <v>38</v>
      </c>
      <c r="J8" s="8" t="s">
        <v>576</v>
      </c>
      <c r="K8" s="8" t="s">
        <v>38</v>
      </c>
    </row>
    <row r="9" spans="1:11" x14ac:dyDescent="0.25">
      <c r="A9" s="6" t="s">
        <v>606</v>
      </c>
      <c r="B9" s="6" t="s">
        <v>607</v>
      </c>
      <c r="C9" s="6" t="s">
        <v>608</v>
      </c>
      <c r="D9" s="6" t="s">
        <v>609</v>
      </c>
      <c r="E9" s="6" t="s">
        <v>610</v>
      </c>
      <c r="F9" s="6" t="s">
        <v>67</v>
      </c>
      <c r="G9" s="8" t="s">
        <v>38</v>
      </c>
      <c r="H9" s="8" t="s">
        <v>38</v>
      </c>
      <c r="I9" s="8" t="s">
        <v>38</v>
      </c>
      <c r="J9" s="8" t="s">
        <v>576</v>
      </c>
      <c r="K9" s="8" t="s">
        <v>38</v>
      </c>
    </row>
    <row r="10" spans="1:11" x14ac:dyDescent="0.25">
      <c r="A10" s="6" t="s">
        <v>611</v>
      </c>
      <c r="B10" s="6" t="s">
        <v>612</v>
      </c>
      <c r="C10" s="6" t="s">
        <v>613</v>
      </c>
      <c r="D10" s="6" t="s">
        <v>609</v>
      </c>
      <c r="E10" s="6" t="s">
        <v>610</v>
      </c>
      <c r="F10" s="6" t="s">
        <v>67</v>
      </c>
      <c r="G10" s="8" t="s">
        <v>38</v>
      </c>
      <c r="H10" s="8" t="s">
        <v>38</v>
      </c>
      <c r="I10" s="8" t="s">
        <v>38</v>
      </c>
      <c r="J10" s="8" t="s">
        <v>576</v>
      </c>
      <c r="K10" s="8" t="s">
        <v>38</v>
      </c>
    </row>
    <row r="11" spans="1:11" x14ac:dyDescent="0.25">
      <c r="A11" s="6" t="s">
        <v>614</v>
      </c>
      <c r="B11" s="6" t="s">
        <v>615</v>
      </c>
      <c r="C11" s="6" t="s">
        <v>616</v>
      </c>
      <c r="D11" s="6" t="s">
        <v>617</v>
      </c>
      <c r="E11" s="6" t="s">
        <v>618</v>
      </c>
      <c r="F11" s="6" t="s">
        <v>67</v>
      </c>
      <c r="G11" s="8" t="s">
        <v>38</v>
      </c>
      <c r="H11" s="8" t="s">
        <v>38</v>
      </c>
      <c r="I11" s="8" t="s">
        <v>38</v>
      </c>
      <c r="J11" s="8" t="s">
        <v>576</v>
      </c>
      <c r="K11" s="8" t="s">
        <v>38</v>
      </c>
    </row>
    <row r="12" spans="1:11" x14ac:dyDescent="0.25">
      <c r="A12" s="6" t="s">
        <v>619</v>
      </c>
      <c r="B12" s="6" t="s">
        <v>620</v>
      </c>
      <c r="C12" s="6" t="s">
        <v>621</v>
      </c>
      <c r="D12" s="6" t="s">
        <v>622</v>
      </c>
      <c r="E12" s="6" t="s">
        <v>623</v>
      </c>
      <c r="F12" s="6" t="s">
        <v>67</v>
      </c>
      <c r="G12" s="8" t="s">
        <v>38</v>
      </c>
      <c r="H12" s="8" t="s">
        <v>38</v>
      </c>
      <c r="I12" s="8" t="s">
        <v>38</v>
      </c>
      <c r="J12" s="8" t="s">
        <v>576</v>
      </c>
      <c r="K12" s="8" t="s">
        <v>38</v>
      </c>
    </row>
    <row r="13" spans="1:11" x14ac:dyDescent="0.25">
      <c r="A13" s="6" t="s">
        <v>624</v>
      </c>
      <c r="B13" s="6" t="s">
        <v>625</v>
      </c>
      <c r="C13" s="6" t="s">
        <v>626</v>
      </c>
      <c r="D13" s="6" t="s">
        <v>627</v>
      </c>
      <c r="E13" s="6" t="s">
        <v>628</v>
      </c>
      <c r="F13" s="6" t="s">
        <v>174</v>
      </c>
      <c r="G13" s="8" t="s">
        <v>38</v>
      </c>
      <c r="H13" s="8" t="s">
        <v>38</v>
      </c>
      <c r="I13" s="8" t="s">
        <v>38</v>
      </c>
      <c r="J13" s="8" t="s">
        <v>576</v>
      </c>
      <c r="K13" s="8" t="s">
        <v>38</v>
      </c>
    </row>
    <row r="14" spans="1:11" x14ac:dyDescent="0.25">
      <c r="A14" s="6" t="s">
        <v>629</v>
      </c>
      <c r="B14" s="6" t="s">
        <v>630</v>
      </c>
      <c r="C14" s="6" t="s">
        <v>631</v>
      </c>
      <c r="D14" s="6" t="s">
        <v>632</v>
      </c>
      <c r="E14" s="6" t="s">
        <v>633</v>
      </c>
      <c r="F14" s="6" t="s">
        <v>67</v>
      </c>
      <c r="G14" s="8" t="s">
        <v>38</v>
      </c>
      <c r="H14" s="8" t="s">
        <v>38</v>
      </c>
      <c r="I14" s="8" t="s">
        <v>38</v>
      </c>
      <c r="J14" s="8" t="s">
        <v>576</v>
      </c>
      <c r="K14" s="8" t="s">
        <v>38</v>
      </c>
    </row>
    <row r="15" spans="1:11" x14ac:dyDescent="0.25">
      <c r="A15" s="6" t="s">
        <v>634</v>
      </c>
      <c r="B15" s="6" t="s">
        <v>635</v>
      </c>
      <c r="C15" s="6" t="s">
        <v>636</v>
      </c>
      <c r="D15" s="6" t="s">
        <v>637</v>
      </c>
      <c r="E15" s="6" t="s">
        <v>591</v>
      </c>
      <c r="F15" s="6" t="s">
        <v>67</v>
      </c>
      <c r="G15" s="8" t="s">
        <v>38</v>
      </c>
      <c r="H15" s="8" t="s">
        <v>38</v>
      </c>
      <c r="I15" s="8" t="s">
        <v>38</v>
      </c>
      <c r="J15" s="8" t="s">
        <v>576</v>
      </c>
      <c r="K15" s="8" t="s">
        <v>38</v>
      </c>
    </row>
    <row r="16" spans="1:11" x14ac:dyDescent="0.25">
      <c r="A16" s="6" t="s">
        <v>638</v>
      </c>
      <c r="B16" s="6" t="s">
        <v>639</v>
      </c>
      <c r="C16" s="6" t="s">
        <v>640</v>
      </c>
      <c r="D16" s="6" t="s">
        <v>641</v>
      </c>
      <c r="E16" s="6" t="s">
        <v>591</v>
      </c>
      <c r="F16" s="6" t="s">
        <v>67</v>
      </c>
      <c r="G16" s="8" t="s">
        <v>38</v>
      </c>
      <c r="H16" s="8" t="s">
        <v>38</v>
      </c>
      <c r="I16" s="8" t="s">
        <v>38</v>
      </c>
      <c r="J16" s="8" t="s">
        <v>576</v>
      </c>
      <c r="K16" s="8" t="s">
        <v>38</v>
      </c>
    </row>
    <row r="17" spans="1:11" x14ac:dyDescent="0.25">
      <c r="A17" s="6" t="s">
        <v>642</v>
      </c>
      <c r="B17" s="6" t="s">
        <v>643</v>
      </c>
      <c r="C17" s="6" t="s">
        <v>644</v>
      </c>
      <c r="D17" s="6" t="s">
        <v>645</v>
      </c>
      <c r="E17" s="6" t="s">
        <v>591</v>
      </c>
      <c r="F17" s="6" t="s">
        <v>67</v>
      </c>
      <c r="G17" s="8" t="s">
        <v>38</v>
      </c>
      <c r="H17" s="8" t="s">
        <v>38</v>
      </c>
      <c r="I17" s="8" t="s">
        <v>38</v>
      </c>
      <c r="J17" s="8" t="s">
        <v>576</v>
      </c>
      <c r="K17" s="8" t="s">
        <v>38</v>
      </c>
    </row>
    <row r="18" spans="1:11" x14ac:dyDescent="0.25">
      <c r="A18" s="6" t="s">
        <v>646</v>
      </c>
      <c r="B18" s="6" t="s">
        <v>647</v>
      </c>
      <c r="C18" s="6" t="s">
        <v>648</v>
      </c>
      <c r="D18" s="6" t="s">
        <v>649</v>
      </c>
      <c r="E18" s="6" t="s">
        <v>591</v>
      </c>
      <c r="F18" s="6" t="s">
        <v>67</v>
      </c>
      <c r="G18" s="8" t="s">
        <v>38</v>
      </c>
      <c r="H18" s="8" t="s">
        <v>38</v>
      </c>
      <c r="I18" s="8" t="s">
        <v>38</v>
      </c>
      <c r="J18" s="8" t="s">
        <v>576</v>
      </c>
      <c r="K18" s="8" t="s">
        <v>38</v>
      </c>
    </row>
    <row r="19" spans="1:11" x14ac:dyDescent="0.25">
      <c r="A19" s="6" t="s">
        <v>650</v>
      </c>
      <c r="B19" s="6" t="s">
        <v>651</v>
      </c>
      <c r="C19" s="6" t="s">
        <v>652</v>
      </c>
      <c r="D19" s="6" t="s">
        <v>653</v>
      </c>
      <c r="E19" s="6" t="s">
        <v>654</v>
      </c>
      <c r="F19" s="6" t="s">
        <v>452</v>
      </c>
      <c r="G19" s="8" t="s">
        <v>38</v>
      </c>
      <c r="H19" s="8" t="s">
        <v>38</v>
      </c>
      <c r="I19" s="8" t="s">
        <v>38</v>
      </c>
      <c r="J19" s="8" t="s">
        <v>576</v>
      </c>
      <c r="K19" s="8" t="s">
        <v>38</v>
      </c>
    </row>
    <row r="20" spans="1:11" x14ac:dyDescent="0.25">
      <c r="A20" s="6" t="s">
        <v>655</v>
      </c>
      <c r="B20" s="6" t="s">
        <v>656</v>
      </c>
      <c r="C20" s="6" t="s">
        <v>657</v>
      </c>
      <c r="D20" s="6" t="s">
        <v>658</v>
      </c>
      <c r="E20" s="6" t="s">
        <v>659</v>
      </c>
      <c r="F20" s="6" t="s">
        <v>95</v>
      </c>
      <c r="G20" s="8" t="s">
        <v>38</v>
      </c>
      <c r="H20" s="8" t="s">
        <v>38</v>
      </c>
      <c r="I20" s="8" t="s">
        <v>38</v>
      </c>
      <c r="J20" s="8" t="s">
        <v>576</v>
      </c>
      <c r="K20" s="8" t="s">
        <v>38</v>
      </c>
    </row>
    <row r="21" spans="1:11" x14ac:dyDescent="0.25">
      <c r="A21" s="6" t="s">
        <v>660</v>
      </c>
      <c r="B21" s="6" t="s">
        <v>661</v>
      </c>
      <c r="C21" s="6" t="s">
        <v>662</v>
      </c>
      <c r="D21" s="6" t="s">
        <v>658</v>
      </c>
      <c r="E21" s="6" t="s">
        <v>663</v>
      </c>
      <c r="F21" s="6" t="s">
        <v>80</v>
      </c>
      <c r="G21" s="8" t="s">
        <v>38</v>
      </c>
      <c r="H21" s="8" t="s">
        <v>38</v>
      </c>
      <c r="I21" s="8" t="s">
        <v>38</v>
      </c>
      <c r="J21" s="8" t="s">
        <v>576</v>
      </c>
      <c r="K21" s="8" t="s">
        <v>38</v>
      </c>
    </row>
  </sheetData>
  <autoFilter ref="A1:K1"/>
  <conditionalFormatting sqref="A2:K21">
    <cfRule type="expression" dxfId="5" priority="1">
      <formula>$J2="Validata"</formula>
    </cfRule>
    <cfRule type="expression" dxfId="6" priority="2">
      <formula>$J2="Da modificare"</formula>
    </cfRule>
  </conditionalFormatting>
  <dataValidations count="2">
    <dataValidation type="list" allowBlank="1" showErrorMessage="1" errorTitle="Valore non valido" error="Scegli tra: Da validare, Validata, Da modificare" sqref="J10:J21">
      <formula1>"Da validare,Validata,Da modificare"</formula1>
    </dataValidation>
    <dataValidation type="list" allowBlank="1" showErrorMessage="1" errorTitle="Valore non valido" error="Scegli tra: Da validare, Validata, Da modificare" sqref="J2:J21">
      <formula1>"Da validare,Validata,Da modificare"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  <pageSetUpPr fitToPage="1"/>
  </sheetPr>
  <dimension ref="A1:G37"/>
  <sheetFormatPr defaultRowHeight="15" outlineLevelRow="0" outlineLevelCol="0" x14ac:dyDescent="55"/>
  <cols>
    <col min="1" max="1" width="28" customWidth="1"/>
    <col min="2" max="2" width="12" customWidth="1"/>
    <col min="3" max="3" width="14" customWidth="1"/>
    <col min="4" max="4" width="13" customWidth="1"/>
    <col min="5" max="5" width="16" customWidth="1"/>
    <col min="6" max="6" width="13" customWidth="1"/>
    <col min="7" max="7" width="12" customWidth="1"/>
  </cols>
  <sheetData>
    <row r="1" spans="1:1" x14ac:dyDescent="0.25">
      <c r="A1" s="9" t="s">
        <v>664</v>
      </c>
    </row>
    <row r="2" spans="1:7" x14ac:dyDescent="0.25">
      <c r="A2" s="10" t="s">
        <v>19</v>
      </c>
      <c r="B2" s="10" t="s">
        <v>665</v>
      </c>
      <c r="C2" s="10" t="s">
        <v>666</v>
      </c>
      <c r="D2" s="10" t="s">
        <v>48</v>
      </c>
      <c r="E2" s="10" t="s">
        <v>127</v>
      </c>
      <c r="F2" s="10" t="s">
        <v>667</v>
      </c>
      <c r="G2" s="10" t="s">
        <v>668</v>
      </c>
    </row>
    <row r="3" spans="1:7" x14ac:dyDescent="0.25">
      <c r="A3" s="11" t="s">
        <v>31</v>
      </c>
      <c r="B3" s="11">
        <f>COUNTIF(Domande!$B$2:$B$104,A3)</f>
      </c>
      <c r="C3" s="11">
        <f>COUNTIFS(Domande!$B$2:$B$104,A3,Domande!$L$2:$L$104,"Risposta data")</f>
      </c>
      <c r="D3" s="11">
        <f>COUNTIFS(Domande!$B$2:$B$104,A3,Domande!$L$2:$L$104,"Da chiarire")</f>
      </c>
      <c r="E3" s="11">
        <f>COUNTIFS(Domande!$B$2:$B$104,A3,Domande!$L$2:$L$104,"Nell'onboarding")</f>
      </c>
      <c r="F3" s="11">
        <f>B3-C3-E3</f>
      </c>
      <c r="G3" s="12">
        <f>IF(B3-E3=0,0,C3/(B3-E3))</f>
      </c>
    </row>
    <row r="4" spans="1:7" x14ac:dyDescent="0.25">
      <c r="A4" s="11" t="s">
        <v>76</v>
      </c>
      <c r="B4" s="11">
        <f>COUNTIF(Domande!$B$2:$B$104,A4)</f>
      </c>
      <c r="C4" s="11">
        <f>COUNTIFS(Domande!$B$2:$B$104,A4,Domande!$L$2:$L$104,"Risposta data")</f>
      </c>
      <c r="D4" s="11">
        <f>COUNTIFS(Domande!$B$2:$B$104,A4,Domande!$L$2:$L$104,"Da chiarire")</f>
      </c>
      <c r="E4" s="11">
        <f>COUNTIFS(Domande!$B$2:$B$104,A4,Domande!$L$2:$L$104,"Nell'onboarding")</f>
      </c>
      <c r="F4" s="11">
        <f>B4-C4-E4</f>
      </c>
      <c r="G4" s="12">
        <f>IF(B4-E4=0,0,C4/(B4-E4))</f>
      </c>
    </row>
    <row r="5" spans="1:7" x14ac:dyDescent="0.25">
      <c r="A5" s="11" t="s">
        <v>122</v>
      </c>
      <c r="B5" s="11">
        <f>COUNTIF(Domande!$B$2:$B$104,A5)</f>
      </c>
      <c r="C5" s="11">
        <f>COUNTIFS(Domande!$B$2:$B$104,A5,Domande!$L$2:$L$104,"Risposta data")</f>
      </c>
      <c r="D5" s="11">
        <f>COUNTIFS(Domande!$B$2:$B$104,A5,Domande!$L$2:$L$104,"Da chiarire")</f>
      </c>
      <c r="E5" s="11">
        <f>COUNTIFS(Domande!$B$2:$B$104,A5,Domande!$L$2:$L$104,"Nell'onboarding")</f>
      </c>
      <c r="F5" s="11">
        <f>B5-C5-E5</f>
      </c>
      <c r="G5" s="12">
        <f>IF(B5-E5=0,0,C5/(B5-E5))</f>
      </c>
    </row>
    <row r="6" spans="1:7" x14ac:dyDescent="0.25">
      <c r="A6" s="11" t="s">
        <v>170</v>
      </c>
      <c r="B6" s="11">
        <f>COUNTIF(Domande!$B$2:$B$104,A6)</f>
      </c>
      <c r="C6" s="11">
        <f>COUNTIFS(Domande!$B$2:$B$104,A6,Domande!$L$2:$L$104,"Risposta data")</f>
      </c>
      <c r="D6" s="11">
        <f>COUNTIFS(Domande!$B$2:$B$104,A6,Domande!$L$2:$L$104,"Da chiarire")</f>
      </c>
      <c r="E6" s="11">
        <f>COUNTIFS(Domande!$B$2:$B$104,A6,Domande!$L$2:$L$104,"Nell'onboarding")</f>
      </c>
      <c r="F6" s="11">
        <f>B6-C6-E6</f>
      </c>
      <c r="G6" s="12">
        <f>IF(B6-E6=0,0,C6/(B6-E6))</f>
      </c>
    </row>
    <row r="7" spans="1:7" x14ac:dyDescent="0.25">
      <c r="A7" s="11" t="s">
        <v>243</v>
      </c>
      <c r="B7" s="11">
        <f>COUNTIF(Domande!$B$2:$B$104,A7)</f>
      </c>
      <c r="C7" s="11">
        <f>COUNTIFS(Domande!$B$2:$B$104,A7,Domande!$L$2:$L$104,"Risposta data")</f>
      </c>
      <c r="D7" s="11">
        <f>COUNTIFS(Domande!$B$2:$B$104,A7,Domande!$L$2:$L$104,"Da chiarire")</f>
      </c>
      <c r="E7" s="11">
        <f>COUNTIFS(Domande!$B$2:$B$104,A7,Domande!$L$2:$L$104,"Nell'onboarding")</f>
      </c>
      <c r="F7" s="11">
        <f>B7-C7-E7</f>
      </c>
      <c r="G7" s="12">
        <f>IF(B7-E7=0,0,C7/(B7-E7))</f>
      </c>
    </row>
    <row r="8" spans="1:7" x14ac:dyDescent="0.25">
      <c r="A8" s="11" t="s">
        <v>270</v>
      </c>
      <c r="B8" s="11">
        <f>COUNTIF(Domande!$B$2:$B$104,A8)</f>
      </c>
      <c r="C8" s="11">
        <f>COUNTIFS(Domande!$B$2:$B$104,A8,Domande!$L$2:$L$104,"Risposta data")</f>
      </c>
      <c r="D8" s="11">
        <f>COUNTIFS(Domande!$B$2:$B$104,A8,Domande!$L$2:$L$104,"Da chiarire")</f>
      </c>
      <c r="E8" s="11">
        <f>COUNTIFS(Domande!$B$2:$B$104,A8,Domande!$L$2:$L$104,"Nell'onboarding")</f>
      </c>
      <c r="F8" s="11">
        <f>B8-C8-E8</f>
      </c>
      <c r="G8" s="12">
        <f>IF(B8-E8=0,0,C8/(B8-E8))</f>
      </c>
    </row>
    <row r="9" spans="1:7" x14ac:dyDescent="0.25">
      <c r="A9" s="11" t="s">
        <v>337</v>
      </c>
      <c r="B9" s="11">
        <f>COUNTIF(Domande!$B$2:$B$104,A9)</f>
      </c>
      <c r="C9" s="11">
        <f>COUNTIFS(Domande!$B$2:$B$104,A9,Domande!$L$2:$L$104,"Risposta data")</f>
      </c>
      <c r="D9" s="11">
        <f>COUNTIFS(Domande!$B$2:$B$104,A9,Domande!$L$2:$L$104,"Da chiarire")</f>
      </c>
      <c r="E9" s="11">
        <f>COUNTIFS(Domande!$B$2:$B$104,A9,Domande!$L$2:$L$104,"Nell'onboarding")</f>
      </c>
      <c r="F9" s="11">
        <f>B9-C9-E9</f>
      </c>
      <c r="G9" s="12">
        <f>IF(B9-E9=0,0,C9/(B9-E9))</f>
      </c>
    </row>
    <row r="10" spans="1:7" x14ac:dyDescent="0.25">
      <c r="A10" s="11" t="s">
        <v>362</v>
      </c>
      <c r="B10" s="11">
        <f>COUNTIF(Domande!$B$2:$B$104,A10)</f>
      </c>
      <c r="C10" s="11">
        <f>COUNTIFS(Domande!$B$2:$B$104,A10,Domande!$L$2:$L$104,"Risposta data")</f>
      </c>
      <c r="D10" s="11">
        <f>COUNTIFS(Domande!$B$2:$B$104,A10,Domande!$L$2:$L$104,"Da chiarire")</f>
      </c>
      <c r="E10" s="11">
        <f>COUNTIFS(Domande!$B$2:$B$104,A10,Domande!$L$2:$L$104,"Nell'onboarding")</f>
      </c>
      <c r="F10" s="11">
        <f>B10-C10-E10</f>
      </c>
      <c r="G10" s="12">
        <f>IF(B10-E10=0,0,C10/(B10-E10))</f>
      </c>
    </row>
    <row r="11" spans="1:7" x14ac:dyDescent="0.25">
      <c r="A11" s="11" t="s">
        <v>150</v>
      </c>
      <c r="B11" s="11">
        <f>COUNTIF(Domande!$B$2:$B$104,A11)</f>
      </c>
      <c r="C11" s="11">
        <f>COUNTIFS(Domande!$B$2:$B$104,A11,Domande!$L$2:$L$104,"Risposta data")</f>
      </c>
      <c r="D11" s="11">
        <f>COUNTIFS(Domande!$B$2:$B$104,A11,Domande!$L$2:$L$104,"Da chiarire")</f>
      </c>
      <c r="E11" s="11">
        <f>COUNTIFS(Domande!$B$2:$B$104,A11,Domande!$L$2:$L$104,"Nell'onboarding")</f>
      </c>
      <c r="F11" s="11">
        <f>B11-C11-E11</f>
      </c>
      <c r="G11" s="12">
        <f>IF(B11-E11=0,0,C11/(B11-E11))</f>
      </c>
    </row>
    <row r="12" spans="1:7" x14ac:dyDescent="0.25">
      <c r="A12" s="11" t="s">
        <v>149</v>
      </c>
      <c r="B12" s="11">
        <f>COUNTIF(Domande!$B$2:$B$104,A12)</f>
      </c>
      <c r="C12" s="11">
        <f>COUNTIFS(Domande!$B$2:$B$104,A12,Domande!$L$2:$L$104,"Risposta data")</f>
      </c>
      <c r="D12" s="11">
        <f>COUNTIFS(Domande!$B$2:$B$104,A12,Domande!$L$2:$L$104,"Da chiarire")</f>
      </c>
      <c r="E12" s="11">
        <f>COUNTIFS(Domande!$B$2:$B$104,A12,Domande!$L$2:$L$104,"Nell'onboarding")</f>
      </c>
      <c r="F12" s="11">
        <f>B12-C12-E12</f>
      </c>
      <c r="G12" s="12">
        <f>IF(B12-E12=0,0,C12/(B12-E12))</f>
      </c>
    </row>
    <row r="13" spans="1:7" x14ac:dyDescent="0.25">
      <c r="A13" s="11" t="s">
        <v>439</v>
      </c>
      <c r="B13" s="11">
        <f>COUNTIF(Domande!$B$2:$B$104,A13)</f>
      </c>
      <c r="C13" s="11">
        <f>COUNTIFS(Domande!$B$2:$B$104,A13,Domande!$L$2:$L$104,"Risposta data")</f>
      </c>
      <c r="D13" s="11">
        <f>COUNTIFS(Domande!$B$2:$B$104,A13,Domande!$L$2:$L$104,"Da chiarire")</f>
      </c>
      <c r="E13" s="11">
        <f>COUNTIFS(Domande!$B$2:$B$104,A13,Domande!$L$2:$L$104,"Nell'onboarding")</f>
      </c>
      <c r="F13" s="11">
        <f>B13-C13-E13</f>
      </c>
      <c r="G13" s="12">
        <f>IF(B13-E13=0,0,C13/(B13-E13))</f>
      </c>
    </row>
    <row r="14" spans="1:7" x14ac:dyDescent="0.25">
      <c r="A14" s="11" t="s">
        <v>475</v>
      </c>
      <c r="B14" s="11">
        <f>COUNTIF(Domande!$B$2:$B$104,A14)</f>
      </c>
      <c r="C14" s="11">
        <f>COUNTIFS(Domande!$B$2:$B$104,A14,Domande!$L$2:$L$104,"Risposta data")</f>
      </c>
      <c r="D14" s="11">
        <f>COUNTIFS(Domande!$B$2:$B$104,A14,Domande!$L$2:$L$104,"Da chiarire")</f>
      </c>
      <c r="E14" s="11">
        <f>COUNTIFS(Domande!$B$2:$B$104,A14,Domande!$L$2:$L$104,"Nell'onboarding")</f>
      </c>
      <c r="F14" s="11">
        <f>B14-C14-E14</f>
      </c>
      <c r="G14" s="12">
        <f>IF(B14-E14=0,0,C14/(B14-E14))</f>
      </c>
    </row>
    <row r="15" spans="1:7" x14ac:dyDescent="0.25">
      <c r="A15" s="11" t="s">
        <v>490</v>
      </c>
      <c r="B15" s="11">
        <f>COUNTIF(Domande!$B$2:$B$104,A15)</f>
      </c>
      <c r="C15" s="11">
        <f>COUNTIFS(Domande!$B$2:$B$104,A15,Domande!$L$2:$L$104,"Risposta data")</f>
      </c>
      <c r="D15" s="11">
        <f>COUNTIFS(Domande!$B$2:$B$104,A15,Domande!$L$2:$L$104,"Da chiarire")</f>
      </c>
      <c r="E15" s="11">
        <f>COUNTIFS(Domande!$B$2:$B$104,A15,Domande!$L$2:$L$104,"Nell'onboarding")</f>
      </c>
      <c r="F15" s="11">
        <f>B15-C15-E15</f>
      </c>
      <c r="G15" s="12">
        <f>IF(B15-E15=0,0,C15/(B15-E15))</f>
      </c>
    </row>
    <row r="16" spans="1:7" x14ac:dyDescent="0.25">
      <c r="A16" s="13" t="s">
        <v>669</v>
      </c>
      <c r="B16" s="13">
        <f>SUM(B3:B15)</f>
      </c>
      <c r="C16" s="13">
        <f>SUM(C3:C15)</f>
      </c>
      <c r="D16" s="13">
        <f>SUM(D3:D15)</f>
      </c>
      <c r="E16" s="13">
        <f>SUM(E3:E15)</f>
      </c>
      <c r="F16" s="13">
        <f>SUM(F3:F15)</f>
      </c>
      <c r="G16" s="14">
        <f>IF(B16-E16=0,0,C16/(B16-E16))</f>
      </c>
    </row>
    <row r="18" spans="1:1" x14ac:dyDescent="0.25">
      <c r="A18" s="9" t="s">
        <v>670</v>
      </c>
    </row>
    <row r="19" spans="1:7" x14ac:dyDescent="0.25">
      <c r="A19" s="10" t="s">
        <v>23</v>
      </c>
      <c r="B19" s="10" t="s">
        <v>665</v>
      </c>
      <c r="C19" s="10" t="s">
        <v>666</v>
      </c>
      <c r="D19" s="10" t="s">
        <v>48</v>
      </c>
      <c r="E19" s="10" t="s">
        <v>127</v>
      </c>
      <c r="F19" s="10" t="s">
        <v>667</v>
      </c>
      <c r="G19" s="10" t="s">
        <v>668</v>
      </c>
    </row>
    <row r="20" spans="1:7" x14ac:dyDescent="0.25">
      <c r="A20" s="11" t="s">
        <v>174</v>
      </c>
      <c r="B20" s="11">
        <f>COUNTIF(Domande!$F$2:$F$104,A20)</f>
      </c>
      <c r="C20" s="11">
        <f>COUNTIFS(Domande!$F$2:$F$104,A20,Domande!$L$2:$L$104,"Risposta data")</f>
      </c>
      <c r="D20" s="11">
        <f>COUNTIFS(Domande!$F$2:$F$104,A20,Domande!$L$2:$L$104,"Da chiarire")</f>
      </c>
      <c r="E20" s="11">
        <f>COUNTIFS(Domande!$F$2:$F$104,A20,Domande!$L$2:$L$104,"Nell'onboarding")</f>
      </c>
      <c r="F20" s="11">
        <f>B20-C20-E20</f>
      </c>
      <c r="G20" s="12">
        <f>IF(B20-E20=0,0,C20/(B20-E20))</f>
      </c>
    </row>
    <row r="21" spans="1:7" x14ac:dyDescent="0.25">
      <c r="A21" s="11" t="s">
        <v>80</v>
      </c>
      <c r="B21" s="11">
        <f>COUNTIF(Domande!$F$2:$F$104,A21)</f>
      </c>
      <c r="C21" s="11">
        <f>COUNTIFS(Domande!$F$2:$F$104,A21,Domande!$L$2:$L$104,"Risposta data")</f>
      </c>
      <c r="D21" s="11">
        <f>COUNTIFS(Domande!$F$2:$F$104,A21,Domande!$L$2:$L$104,"Da chiarire")</f>
      </c>
      <c r="E21" s="11">
        <f>COUNTIFS(Domande!$F$2:$F$104,A21,Domande!$L$2:$L$104,"Nell'onboarding")</f>
      </c>
      <c r="F21" s="11">
        <f>B21-C21-E21</f>
      </c>
      <c r="G21" s="12">
        <f>IF(B21-E21=0,0,C21/(B21-E21))</f>
      </c>
    </row>
    <row r="22" spans="1:7" x14ac:dyDescent="0.25">
      <c r="A22" s="11" t="s">
        <v>60</v>
      </c>
      <c r="B22" s="11">
        <f>COUNTIF(Domande!$F$2:$F$104,A22)</f>
      </c>
      <c r="C22" s="11">
        <f>COUNTIFS(Domande!$F$2:$F$104,A22,Domande!$L$2:$L$104,"Risposta data")</f>
      </c>
      <c r="D22" s="11">
        <f>COUNTIFS(Domande!$F$2:$F$104,A22,Domande!$L$2:$L$104,"Da chiarire")</f>
      </c>
      <c r="E22" s="11">
        <f>COUNTIFS(Domande!$F$2:$F$104,A22,Domande!$L$2:$L$104,"Nell'onboarding")</f>
      </c>
      <c r="F22" s="11">
        <f>B22-C22-E22</f>
      </c>
      <c r="G22" s="12">
        <f>IF(B22-E22=0,0,C22/(B22-E22))</f>
      </c>
    </row>
    <row r="23" spans="1:7" x14ac:dyDescent="0.25">
      <c r="A23" s="11" t="s">
        <v>149</v>
      </c>
      <c r="B23" s="11">
        <f>COUNTIF(Domande!$F$2:$F$104,A23)</f>
      </c>
      <c r="C23" s="11">
        <f>COUNTIFS(Domande!$F$2:$F$104,A23,Domande!$L$2:$L$104,"Risposta data")</f>
      </c>
      <c r="D23" s="11">
        <f>COUNTIFS(Domande!$F$2:$F$104,A23,Domande!$L$2:$L$104,"Da chiarire")</f>
      </c>
      <c r="E23" s="11">
        <f>COUNTIFS(Domande!$F$2:$F$104,A23,Domande!$L$2:$L$104,"Nell'onboarding")</f>
      </c>
      <c r="F23" s="11">
        <f>B23-C23-E23</f>
      </c>
      <c r="G23" s="12">
        <f>IF(B23-E23=0,0,C23/(B23-E23))</f>
      </c>
    </row>
    <row r="24" spans="1:7" x14ac:dyDescent="0.25">
      <c r="A24" s="11" t="s">
        <v>484</v>
      </c>
      <c r="B24" s="11">
        <f>COUNTIF(Domande!$F$2:$F$104,A24)</f>
      </c>
      <c r="C24" s="11">
        <f>COUNTIFS(Domande!$F$2:$F$104,A24,Domande!$L$2:$L$104,"Risposta data")</f>
      </c>
      <c r="D24" s="11">
        <f>COUNTIFS(Domande!$F$2:$F$104,A24,Domande!$L$2:$L$104,"Da chiarire")</f>
      </c>
      <c r="E24" s="11">
        <f>COUNTIFS(Domande!$F$2:$F$104,A24,Domande!$L$2:$L$104,"Nell'onboarding")</f>
      </c>
      <c r="F24" s="11">
        <f>B24-C24-E24</f>
      </c>
      <c r="G24" s="12">
        <f>IF(B24-E24=0,0,C24/(B24-E24))</f>
      </c>
    </row>
    <row r="25" spans="1:7" x14ac:dyDescent="0.25">
      <c r="A25" s="11" t="s">
        <v>462</v>
      </c>
      <c r="B25" s="11">
        <f>COUNTIF(Domande!$F$2:$F$104,A25)</f>
      </c>
      <c r="C25" s="11">
        <f>COUNTIFS(Domande!$F$2:$F$104,A25,Domande!$L$2:$L$104,"Risposta data")</f>
      </c>
      <c r="D25" s="11">
        <f>COUNTIFS(Domande!$F$2:$F$104,A25,Domande!$L$2:$L$104,"Da chiarire")</f>
      </c>
      <c r="E25" s="11">
        <f>COUNTIFS(Domande!$F$2:$F$104,A25,Domande!$L$2:$L$104,"Nell'onboarding")</f>
      </c>
      <c r="F25" s="11">
        <f>B25-C25-E25</f>
      </c>
      <c r="G25" s="12">
        <f>IF(B25-E25=0,0,C25/(B25-E25))</f>
      </c>
    </row>
    <row r="26" spans="1:7" x14ac:dyDescent="0.25">
      <c r="A26" s="11" t="s">
        <v>95</v>
      </c>
      <c r="B26" s="11">
        <f>COUNTIF(Domande!$F$2:$F$104,A26)</f>
      </c>
      <c r="C26" s="11">
        <f>COUNTIFS(Domande!$F$2:$F$104,A26,Domande!$L$2:$L$104,"Risposta data")</f>
      </c>
      <c r="D26" s="11">
        <f>COUNTIFS(Domande!$F$2:$F$104,A26,Domande!$L$2:$L$104,"Da chiarire")</f>
      </c>
      <c r="E26" s="11">
        <f>COUNTIFS(Domande!$F$2:$F$104,A26,Domande!$L$2:$L$104,"Nell'onboarding")</f>
      </c>
      <c r="F26" s="11">
        <f>B26-C26-E26</f>
      </c>
      <c r="G26" s="12">
        <f>IF(B26-E26=0,0,C26/(B26-E26))</f>
      </c>
    </row>
    <row r="27" spans="1:7" x14ac:dyDescent="0.25">
      <c r="A27" s="11" t="s">
        <v>494</v>
      </c>
      <c r="B27" s="11">
        <f>COUNTIF(Domande!$F$2:$F$104,A27)</f>
      </c>
      <c r="C27" s="11">
        <f>COUNTIFS(Domande!$F$2:$F$104,A27,Domande!$L$2:$L$104,"Risposta data")</f>
      </c>
      <c r="D27" s="11">
        <f>COUNTIFS(Domande!$F$2:$F$104,A27,Domande!$L$2:$L$104,"Da chiarire")</f>
      </c>
      <c r="E27" s="11">
        <f>COUNTIFS(Domande!$F$2:$F$104,A27,Domande!$L$2:$L$104,"Nell'onboarding")</f>
      </c>
      <c r="F27" s="11">
        <f>B27-C27-E27</f>
      </c>
      <c r="G27" s="12">
        <f>IF(B27-E27=0,0,C27/(B27-E27))</f>
      </c>
    </row>
    <row r="28" spans="1:7" x14ac:dyDescent="0.25">
      <c r="A28" s="11" t="s">
        <v>35</v>
      </c>
      <c r="B28" s="11">
        <f>COUNTIF(Domande!$F$2:$F$104,A28)</f>
      </c>
      <c r="C28" s="11">
        <f>COUNTIFS(Domande!$F$2:$F$104,A28,Domande!$L$2:$L$104,"Risposta data")</f>
      </c>
      <c r="D28" s="11">
        <f>COUNTIFS(Domande!$F$2:$F$104,A28,Domande!$L$2:$L$104,"Da chiarire")</f>
      </c>
      <c r="E28" s="11">
        <f>COUNTIFS(Domande!$F$2:$F$104,A28,Domande!$L$2:$L$104,"Nell'onboarding")</f>
      </c>
      <c r="F28" s="11">
        <f>B28-C28-E28</f>
      </c>
      <c r="G28" s="12">
        <f>IF(B28-E28=0,0,C28/(B28-E28))</f>
      </c>
    </row>
    <row r="29" spans="1:7" x14ac:dyDescent="0.25">
      <c r="A29" s="11" t="s">
        <v>67</v>
      </c>
      <c r="B29" s="11">
        <f>COUNTIF(Domande!$F$2:$F$104,A29)</f>
      </c>
      <c r="C29" s="11">
        <f>COUNTIFS(Domande!$F$2:$F$104,A29,Domande!$L$2:$L$104,"Risposta data")</f>
      </c>
      <c r="D29" s="11">
        <f>COUNTIFS(Domande!$F$2:$F$104,A29,Domande!$L$2:$L$104,"Da chiarire")</f>
      </c>
      <c r="E29" s="11">
        <f>COUNTIFS(Domande!$F$2:$F$104,A29,Domande!$L$2:$L$104,"Nell'onboarding")</f>
      </c>
      <c r="F29" s="11">
        <f>B29-C29-E29</f>
      </c>
      <c r="G29" s="12">
        <f>IF(B29-E29=0,0,C29/(B29-E29))</f>
      </c>
    </row>
    <row r="30" spans="1:7" x14ac:dyDescent="0.25">
      <c r="A30" s="11" t="s">
        <v>150</v>
      </c>
      <c r="B30" s="11">
        <f>COUNTIF(Domande!$F$2:$F$104,A30)</f>
      </c>
      <c r="C30" s="11">
        <f>COUNTIFS(Domande!$F$2:$F$104,A30,Domande!$L$2:$L$104,"Risposta data")</f>
      </c>
      <c r="D30" s="11">
        <f>COUNTIFS(Domande!$F$2:$F$104,A30,Domande!$L$2:$L$104,"Da chiarire")</f>
      </c>
      <c r="E30" s="11">
        <f>COUNTIFS(Domande!$F$2:$F$104,A30,Domande!$L$2:$L$104,"Nell'onboarding")</f>
      </c>
      <c r="F30" s="11">
        <f>B30-C30-E30</f>
      </c>
      <c r="G30" s="12">
        <f>IF(B30-E30=0,0,C30/(B30-E30))</f>
      </c>
    </row>
    <row r="31" spans="1:7" x14ac:dyDescent="0.25">
      <c r="A31" s="11" t="s">
        <v>457</v>
      </c>
      <c r="B31" s="11">
        <f>COUNTIF(Domande!$F$2:$F$104,A31)</f>
      </c>
      <c r="C31" s="11">
        <f>COUNTIFS(Domande!$F$2:$F$104,A31,Domande!$L$2:$L$104,"Risposta data")</f>
      </c>
      <c r="D31" s="11">
        <f>COUNTIFS(Domande!$F$2:$F$104,A31,Domande!$L$2:$L$104,"Da chiarire")</f>
      </c>
      <c r="E31" s="11">
        <f>COUNTIFS(Domande!$F$2:$F$104,A31,Domande!$L$2:$L$104,"Nell'onboarding")</f>
      </c>
      <c r="F31" s="11">
        <f>B31-C31-E31</f>
      </c>
      <c r="G31" s="12">
        <f>IF(B31-E31=0,0,C31/(B31-E31))</f>
      </c>
    </row>
    <row r="32" spans="1:7" x14ac:dyDescent="0.25">
      <c r="A32" s="11" t="s">
        <v>323</v>
      </c>
      <c r="B32" s="11">
        <f>COUNTIF(Domande!$F$2:$F$104,A32)</f>
      </c>
      <c r="C32" s="11">
        <f>COUNTIFS(Domande!$F$2:$F$104,A32,Domande!$L$2:$L$104,"Risposta data")</f>
      </c>
      <c r="D32" s="11">
        <f>COUNTIFS(Domande!$F$2:$F$104,A32,Domande!$L$2:$L$104,"Da chiarire")</f>
      </c>
      <c r="E32" s="11">
        <f>COUNTIFS(Domande!$F$2:$F$104,A32,Domande!$L$2:$L$104,"Nell'onboarding")</f>
      </c>
      <c r="F32" s="11">
        <f>B32-C32-E32</f>
      </c>
      <c r="G32" s="12">
        <f>IF(B32-E32=0,0,C32/(B32-E32))</f>
      </c>
    </row>
    <row r="33" spans="1:7" x14ac:dyDescent="0.25">
      <c r="A33" s="11" t="s">
        <v>452</v>
      </c>
      <c r="B33" s="11">
        <f>COUNTIF(Domande!$F$2:$F$104,A33)</f>
      </c>
      <c r="C33" s="11">
        <f>COUNTIFS(Domande!$F$2:$F$104,A33,Domande!$L$2:$L$104,"Risposta data")</f>
      </c>
      <c r="D33" s="11">
        <f>COUNTIFS(Domande!$F$2:$F$104,A33,Domande!$L$2:$L$104,"Da chiarire")</f>
      </c>
      <c r="E33" s="11">
        <f>COUNTIFS(Domande!$F$2:$F$104,A33,Domande!$L$2:$L$104,"Nell'onboarding")</f>
      </c>
      <c r="F33" s="11">
        <f>B33-C33-E33</f>
      </c>
      <c r="G33" s="12">
        <f>IF(B33-E33=0,0,C33/(B33-E33))</f>
      </c>
    </row>
    <row r="34" spans="1:7" x14ac:dyDescent="0.25">
      <c r="A34" s="13" t="s">
        <v>669</v>
      </c>
      <c r="B34" s="13">
        <f>SUM(B20:B33)</f>
      </c>
      <c r="C34" s="13">
        <f>SUM(C20:C33)</f>
      </c>
      <c r="D34" s="13">
        <f>SUM(D20:D33)</f>
      </c>
      <c r="E34" s="13">
        <f>SUM(E20:E33)</f>
      </c>
      <c r="F34" s="13">
        <f>SUM(F20:F33)</f>
      </c>
      <c r="G34" s="14">
        <f>IF(B34-E34=0,0,C34/(B34-E34))</f>
      </c>
    </row>
    <row r="36" spans="1:2" x14ac:dyDescent="0.25">
      <c r="A36" s="15" t="s">
        <v>671</v>
      </c>
      <c r="B36">
        <f>COUNTIF('Dati per l''onboarding'!$G$2:$G$17,"Pronto")&amp;" su 16"</f>
      </c>
    </row>
    <row r="37" spans="1:2" x14ac:dyDescent="0.25">
      <c r="A37" s="15" t="s">
        <v>672</v>
      </c>
      <c r="B37">
        <f>COUNTIF('Soglie da validare'!$J$2:$J$21,"Validata")&amp;" su 20"</f>
      </c>
    </row>
  </sheetData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57575"/>
    <pageSetUpPr fitToPage="1"/>
  </sheetPr>
  <dimension ref="A1:F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4" customWidth="1"/>
    <col min="3" max="3" width="70" customWidth="1"/>
    <col min="4" max="4" width="40" customWidth="1"/>
    <col min="5" max="5" width="12" customWidth="1"/>
    <col min="6" max="6" width="36" customWidth="1"/>
  </cols>
  <sheetData>
    <row r="1" ht="30" customHeight="1" spans="1:6" x14ac:dyDescent="0.25">
      <c r="A1" s="5" t="s">
        <v>18</v>
      </c>
      <c r="B1" s="5" t="s">
        <v>673</v>
      </c>
      <c r="C1" s="5" t="s">
        <v>674</v>
      </c>
      <c r="D1" s="5" t="s">
        <v>675</v>
      </c>
      <c r="E1" s="5" t="s">
        <v>27</v>
      </c>
      <c r="F1" s="5" t="s">
        <v>29</v>
      </c>
    </row>
    <row r="2" spans="1:6" x14ac:dyDescent="0.25">
      <c r="A2" s="16" t="s">
        <v>676</v>
      </c>
      <c r="B2" s="16" t="s">
        <v>677</v>
      </c>
      <c r="C2" s="16" t="s">
        <v>678</v>
      </c>
      <c r="D2" s="8" t="s">
        <v>679</v>
      </c>
      <c r="E2" s="8" t="s">
        <v>47</v>
      </c>
      <c r="F2" s="8" t="s">
        <v>38</v>
      </c>
    </row>
    <row r="3" spans="1:6" x14ac:dyDescent="0.25">
      <c r="A3" s="16" t="s">
        <v>680</v>
      </c>
      <c r="B3" s="16" t="s">
        <v>681</v>
      </c>
      <c r="C3" s="16" t="s">
        <v>682</v>
      </c>
      <c r="D3" s="8" t="s">
        <v>679</v>
      </c>
      <c r="E3" s="8" t="s">
        <v>47</v>
      </c>
      <c r="F3" s="8" t="s">
        <v>38</v>
      </c>
    </row>
    <row r="4" spans="1:6" x14ac:dyDescent="0.25">
      <c r="A4" s="16" t="s">
        <v>683</v>
      </c>
      <c r="B4" s="16" t="s">
        <v>684</v>
      </c>
      <c r="C4" s="16" t="s">
        <v>685</v>
      </c>
      <c r="D4" s="8" t="s">
        <v>679</v>
      </c>
      <c r="E4" s="8" t="s">
        <v>47</v>
      </c>
      <c r="F4" s="8" t="s">
        <v>38</v>
      </c>
    </row>
    <row r="5" spans="1:6" x14ac:dyDescent="0.25">
      <c r="A5" s="16" t="s">
        <v>686</v>
      </c>
      <c r="B5" s="16" t="s">
        <v>687</v>
      </c>
      <c r="C5" s="16" t="s">
        <v>688</v>
      </c>
      <c r="D5" s="8" t="s">
        <v>679</v>
      </c>
      <c r="E5" s="8" t="s">
        <v>47</v>
      </c>
      <c r="F5" s="8" t="s">
        <v>38</v>
      </c>
    </row>
    <row r="6" spans="1:6" x14ac:dyDescent="0.25">
      <c r="A6" s="16" t="s">
        <v>689</v>
      </c>
      <c r="B6" s="16" t="s">
        <v>150</v>
      </c>
      <c r="C6" s="16" t="s">
        <v>690</v>
      </c>
      <c r="D6" s="8" t="s">
        <v>679</v>
      </c>
      <c r="E6" s="8" t="s">
        <v>47</v>
      </c>
      <c r="F6" s="8" t="s">
        <v>38</v>
      </c>
    </row>
    <row r="7" spans="1:6" x14ac:dyDescent="0.25">
      <c r="A7" s="16" t="s">
        <v>691</v>
      </c>
      <c r="B7" s="16" t="s">
        <v>692</v>
      </c>
      <c r="C7" s="16" t="s">
        <v>693</v>
      </c>
      <c r="D7" s="8" t="s">
        <v>679</v>
      </c>
      <c r="E7" s="8" t="s">
        <v>47</v>
      </c>
      <c r="F7" s="8" t="s">
        <v>38</v>
      </c>
    </row>
    <row r="8" spans="1:6" x14ac:dyDescent="0.25">
      <c r="A8" s="16" t="s">
        <v>694</v>
      </c>
      <c r="B8" s="16" t="s">
        <v>695</v>
      </c>
      <c r="C8" s="16" t="s">
        <v>696</v>
      </c>
      <c r="D8" s="8" t="s">
        <v>679</v>
      </c>
      <c r="E8" s="8" t="s">
        <v>47</v>
      </c>
      <c r="F8" s="8" t="s">
        <v>38</v>
      </c>
    </row>
    <row r="9" spans="1:6" x14ac:dyDescent="0.25">
      <c r="A9" s="16" t="s">
        <v>697</v>
      </c>
      <c r="B9" s="16" t="s">
        <v>698</v>
      </c>
      <c r="C9" s="16" t="s">
        <v>699</v>
      </c>
      <c r="D9" s="8" t="s">
        <v>679</v>
      </c>
      <c r="E9" s="8" t="s">
        <v>47</v>
      </c>
      <c r="F9" s="8" t="s">
        <v>38</v>
      </c>
    </row>
    <row r="10" spans="1:6" x14ac:dyDescent="0.25">
      <c r="A10" s="16" t="s">
        <v>700</v>
      </c>
      <c r="B10" s="16" t="s">
        <v>701</v>
      </c>
      <c r="C10" s="16" t="s">
        <v>702</v>
      </c>
      <c r="D10" s="8" t="s">
        <v>679</v>
      </c>
      <c r="E10" s="8" t="s">
        <v>47</v>
      </c>
      <c r="F10" s="8" t="s">
        <v>703</v>
      </c>
    </row>
    <row r="11" spans="1:6" x14ac:dyDescent="0.25">
      <c r="A11" s="16" t="s">
        <v>704</v>
      </c>
      <c r="B11" s="16" t="s">
        <v>705</v>
      </c>
      <c r="C11" s="16" t="s">
        <v>706</v>
      </c>
      <c r="D11" s="8" t="s">
        <v>679</v>
      </c>
      <c r="E11" s="8" t="s">
        <v>47</v>
      </c>
      <c r="F11" s="8" t="s">
        <v>38</v>
      </c>
    </row>
    <row r="12" spans="1:6" x14ac:dyDescent="0.25">
      <c r="A12" s="16" t="s">
        <v>707</v>
      </c>
      <c r="B12" s="16" t="s">
        <v>708</v>
      </c>
      <c r="C12" s="16" t="s">
        <v>709</v>
      </c>
      <c r="D12" s="8" t="s">
        <v>679</v>
      </c>
      <c r="E12" s="8" t="s">
        <v>47</v>
      </c>
      <c r="F12" s="8" t="s">
        <v>710</v>
      </c>
    </row>
    <row r="13" spans="1:6" x14ac:dyDescent="0.25">
      <c r="A13" s="16" t="s">
        <v>711</v>
      </c>
      <c r="B13" s="16" t="s">
        <v>712</v>
      </c>
      <c r="C13" s="16" t="s">
        <v>713</v>
      </c>
      <c r="D13" s="8" t="s">
        <v>679</v>
      </c>
      <c r="E13" s="8" t="s">
        <v>47</v>
      </c>
      <c r="F13" s="8" t="s">
        <v>38</v>
      </c>
    </row>
    <row r="14" spans="1:6" x14ac:dyDescent="0.25">
      <c r="A14" s="16" t="s">
        <v>714</v>
      </c>
      <c r="B14" s="16" t="s">
        <v>715</v>
      </c>
      <c r="C14" s="16" t="s">
        <v>716</v>
      </c>
      <c r="D14" s="8" t="s">
        <v>717</v>
      </c>
      <c r="E14" s="8" t="s">
        <v>47</v>
      </c>
      <c r="F14" s="8" t="s">
        <v>718</v>
      </c>
    </row>
    <row r="15" spans="1:6" x14ac:dyDescent="0.25">
      <c r="A15" s="16" t="s">
        <v>719</v>
      </c>
      <c r="B15" s="16" t="s">
        <v>720</v>
      </c>
      <c r="C15" s="16" t="s">
        <v>721</v>
      </c>
      <c r="D15" s="8" t="s">
        <v>679</v>
      </c>
      <c r="E15" s="8" t="s">
        <v>47</v>
      </c>
      <c r="F15" s="8" t="s">
        <v>38</v>
      </c>
    </row>
    <row r="16" spans="1:6" x14ac:dyDescent="0.25">
      <c r="A16" s="16" t="s">
        <v>722</v>
      </c>
      <c r="B16" s="16" t="s">
        <v>723</v>
      </c>
      <c r="C16" s="16" t="s">
        <v>724</v>
      </c>
      <c r="D16" s="8" t="s">
        <v>679</v>
      </c>
      <c r="E16" s="8" t="s">
        <v>47</v>
      </c>
      <c r="F16" s="8" t="s">
        <v>38</v>
      </c>
    </row>
    <row r="17" spans="1:6" x14ac:dyDescent="0.25">
      <c r="A17" s="16" t="s">
        <v>725</v>
      </c>
      <c r="B17" s="16" t="s">
        <v>726</v>
      </c>
      <c r="C17" s="16" t="s">
        <v>727</v>
      </c>
      <c r="D17" s="8" t="s">
        <v>728</v>
      </c>
      <c r="E17" s="8" t="s">
        <v>47</v>
      </c>
      <c r="F17" s="8" t="s">
        <v>729</v>
      </c>
    </row>
    <row r="18" spans="1:6" x14ac:dyDescent="0.25">
      <c r="A18" s="16" t="s">
        <v>730</v>
      </c>
      <c r="B18" s="16" t="s">
        <v>731</v>
      </c>
      <c r="C18" s="16" t="s">
        <v>732</v>
      </c>
      <c r="D18" s="8" t="s">
        <v>733</v>
      </c>
      <c r="E18" s="8" t="s">
        <v>47</v>
      </c>
      <c r="F18" s="8" t="s">
        <v>734</v>
      </c>
    </row>
    <row r="19" spans="1:6" x14ac:dyDescent="0.25">
      <c r="A19" s="16" t="s">
        <v>735</v>
      </c>
      <c r="B19" s="16" t="s">
        <v>736</v>
      </c>
      <c r="C19" s="16" t="s">
        <v>737</v>
      </c>
      <c r="D19" s="8" t="s">
        <v>733</v>
      </c>
      <c r="E19" s="8" t="s">
        <v>47</v>
      </c>
      <c r="F19" s="8" t="s">
        <v>738</v>
      </c>
    </row>
  </sheetData>
  <pageMargins left="0.4" right="0.4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</vt:lpstr>
      <vt:lpstr>Domande</vt:lpstr>
      <vt:lpstr>Dati per l'onboarding</vt:lpstr>
      <vt:lpstr>Soglie da validare</vt:lpstr>
      <vt:lpstr>Riepilogo</vt:lpstr>
      <vt:lpstr>Decisioni software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MyWinery</dc:creator>
  <dc:title/>
  <dc:subject/>
  <dc:description/>
  <cp:keywords/>
  <cp:category/>
  <cp:lastModifiedBy>Unknown</cp:lastModifiedBy>
  <dcterms:created xsi:type="dcterms:W3CDTF">2026-09-25T10:03:33Z</dcterms:created>
  <dcterms:modified xsi:type="dcterms:W3CDTF">2026-09-25T10:03:33Z</dcterms:modified>
</cp:coreProperties>
</file>